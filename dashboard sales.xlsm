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licers/slicer2.xml" ContentType="application/vnd.ms-excel.slicer+xml"/>
  <Override PartName="/xl/timelines/timeline2.xml" ContentType="application/vnd.ms-excel.timelin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MITS\Downloads\"/>
    </mc:Choice>
  </mc:AlternateContent>
  <xr:revisionPtr revIDLastSave="0" documentId="13_ncr:1_{E163CB49-EE5D-4E28-AF68-1DD8CA8EF9BD}" xr6:coauthVersionLast="47" xr6:coauthVersionMax="47" xr10:uidLastSave="{00000000-0000-0000-0000-000000000000}"/>
  <bookViews>
    <workbookView xWindow="-120" yWindow="-120" windowWidth="29040" windowHeight="15720" activeTab="1" xr2:uid="{F0A080B3-BD3A-4BFB-BF55-885A05C4DF1F}"/>
  </bookViews>
  <sheets>
    <sheet name="Sheet2" sheetId="3" r:id="rId1"/>
    <sheet name="sales_data" sheetId="1" r:id="rId2"/>
    <sheet name="Sheet5" sheetId="7" r:id="rId3"/>
    <sheet name="Sheet7" sheetId="9" r:id="rId4"/>
    <sheet name="Sheet6" sheetId="8" r:id="rId5"/>
    <sheet name="Sheet3" sheetId="5" r:id="rId6"/>
    <sheet name="Sheet1" sheetId="4" r:id="rId7"/>
    <sheet name="dashboard sales" sheetId="2" r:id="rId8"/>
  </sheets>
  <definedNames>
    <definedName name="NativeTimeline_Sale_Date">#N/A</definedName>
    <definedName name="Slicer_Payment_Method">#N/A</definedName>
    <definedName name="Slicer_Product_Category">#N/A</definedName>
    <definedName name="Slicer_Region">#N/A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6" i="4" l="1"/>
  <c r="T37" i="4"/>
  <c r="T38" i="4"/>
  <c r="T39" i="4"/>
  <c r="T35" i="4"/>
  <c r="H37" i="4"/>
  <c r="L35" i="4" s="1"/>
  <c r="H41" i="4"/>
  <c r="H40" i="4"/>
  <c r="H39" i="4"/>
  <c r="H38" i="4"/>
  <c r="Q3" i="4"/>
  <c r="Q4" i="4"/>
  <c r="Q5" i="4"/>
  <c r="Q6" i="4"/>
  <c r="Q7" i="4"/>
  <c r="Q8" i="4"/>
  <c r="Q9" i="4"/>
  <c r="Q10" i="4"/>
  <c r="Q2" i="4"/>
</calcChain>
</file>

<file path=xl/sharedStrings.xml><?xml version="1.0" encoding="utf-8"?>
<sst xmlns="http://schemas.openxmlformats.org/spreadsheetml/2006/main" count="7674" uniqueCount="123">
  <si>
    <t>Product_ID</t>
  </si>
  <si>
    <t>Sale_Date</t>
  </si>
  <si>
    <t>Sales_Rep</t>
  </si>
  <si>
    <t>Region</t>
  </si>
  <si>
    <t>Sales_Amount</t>
  </si>
  <si>
    <t>Quantity_Sold</t>
  </si>
  <si>
    <t>Product_Category</t>
  </si>
  <si>
    <t>Unit_Cost</t>
  </si>
  <si>
    <t>Unit_Price</t>
  </si>
  <si>
    <t>Customer_Type</t>
  </si>
  <si>
    <t>Discount</t>
  </si>
  <si>
    <t>Payment_Method</t>
  </si>
  <si>
    <t>Sales_Channel</t>
  </si>
  <si>
    <t>Region_and_Sales_Rep</t>
  </si>
  <si>
    <t>Bob</t>
  </si>
  <si>
    <t>North</t>
  </si>
  <si>
    <t>Furniture</t>
  </si>
  <si>
    <t>Returning</t>
  </si>
  <si>
    <t>Cash</t>
  </si>
  <si>
    <t>Online</t>
  </si>
  <si>
    <t>North-Bob</t>
  </si>
  <si>
    <t>West</t>
  </si>
  <si>
    <t>Retail</t>
  </si>
  <si>
    <t>West-Bob</t>
  </si>
  <si>
    <t>David</t>
  </si>
  <si>
    <t>South</t>
  </si>
  <si>
    <t>Food</t>
  </si>
  <si>
    <t>Bank Transfer</t>
  </si>
  <si>
    <t>South-David</t>
  </si>
  <si>
    <t>Clothing</t>
  </si>
  <si>
    <t>New</t>
  </si>
  <si>
    <t>Credit Card</t>
  </si>
  <si>
    <t>South-Bob</t>
  </si>
  <si>
    <t>Charlie</t>
  </si>
  <si>
    <t>East</t>
  </si>
  <si>
    <t>Electronics</t>
  </si>
  <si>
    <t>East-Charlie</t>
  </si>
  <si>
    <t>West-Charlie</t>
  </si>
  <si>
    <t>Eve</t>
  </si>
  <si>
    <t>South-Eve</t>
  </si>
  <si>
    <t>North-Eve</t>
  </si>
  <si>
    <t>West-Eve</t>
  </si>
  <si>
    <t>Alice</t>
  </si>
  <si>
    <t>South-Alice</t>
  </si>
  <si>
    <t>South-Charlie</t>
  </si>
  <si>
    <t>North-David</t>
  </si>
  <si>
    <t>East-Bob</t>
  </si>
  <si>
    <t>West-David</t>
  </si>
  <si>
    <t>East-Eve</t>
  </si>
  <si>
    <t>North-Alice</t>
  </si>
  <si>
    <t>East-David</t>
  </si>
  <si>
    <t>West-Alice</t>
  </si>
  <si>
    <t>East-Alice</t>
  </si>
  <si>
    <t>North-Charlie</t>
  </si>
  <si>
    <t>Row Labels</t>
  </si>
  <si>
    <t>Grand Total</t>
  </si>
  <si>
    <t>Sum of Sales_Amount</t>
  </si>
  <si>
    <t>Column Labels</t>
  </si>
  <si>
    <t>Count of Quantity_Sold</t>
  </si>
  <si>
    <t>Jan</t>
  </si>
  <si>
    <t>Feb</t>
  </si>
  <si>
    <t>Mar</t>
  </si>
  <si>
    <t>Count of Payment_Method</t>
  </si>
  <si>
    <t>vamc</t>
  </si>
  <si>
    <t>krishna</t>
  </si>
  <si>
    <t>error checking</t>
  </si>
  <si>
    <t>data  validiation</t>
  </si>
  <si>
    <t>sorting</t>
  </si>
  <si>
    <t>text to cloumn</t>
  </si>
  <si>
    <t>wrap text</t>
  </si>
  <si>
    <t>sanjeevapuram,bukkarayasamudram,anatapuram</t>
  </si>
  <si>
    <t>merge</t>
  </si>
  <si>
    <t>dghj</t>
  </si>
  <si>
    <t>hi</t>
  </si>
  <si>
    <t>vignesH</t>
  </si>
  <si>
    <t>LADDU</t>
  </si>
  <si>
    <t>HMJ</t>
  </si>
  <si>
    <t>JHNB</t>
  </si>
  <si>
    <t>BANA</t>
  </si>
  <si>
    <t>VASE</t>
  </si>
  <si>
    <t>VERRI</t>
  </si>
  <si>
    <t>VIGNESH</t>
  </si>
  <si>
    <t>OLLA</t>
  </si>
  <si>
    <t>SANTHOSH</t>
  </si>
  <si>
    <t>G</t>
  </si>
  <si>
    <t>NAME</t>
  </si>
  <si>
    <t>A</t>
  </si>
  <si>
    <t>B</t>
  </si>
  <si>
    <t>C</t>
  </si>
  <si>
    <t>D</t>
  </si>
  <si>
    <t>E</t>
  </si>
  <si>
    <t>S1</t>
  </si>
  <si>
    <t>S2</t>
  </si>
  <si>
    <t>S3</t>
  </si>
  <si>
    <t>S4</t>
  </si>
  <si>
    <t>OVERALL</t>
  </si>
  <si>
    <t>CC</t>
  </si>
  <si>
    <t>I want this marks</t>
  </si>
  <si>
    <t>goal seek ho many want</t>
  </si>
  <si>
    <t>DATA TABLE</t>
  </si>
  <si>
    <t>SCENARO</t>
  </si>
  <si>
    <t>sales</t>
  </si>
  <si>
    <t>product_id</t>
  </si>
  <si>
    <t>sales_rep</t>
  </si>
  <si>
    <t>names</t>
  </si>
  <si>
    <t>vignesh</t>
  </si>
  <si>
    <t>laddu</t>
  </si>
  <si>
    <t>uday</t>
  </si>
  <si>
    <t>nanda</t>
  </si>
  <si>
    <t>santhu</t>
  </si>
  <si>
    <t>ram</t>
  </si>
  <si>
    <t>ravi</t>
  </si>
  <si>
    <t>tharak</t>
  </si>
  <si>
    <t>rao</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</si>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</sst>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bgColor indexed="64"/>
      </patternFill>
    </fill>
    <fill>
      <patternFill patternType="solid">
        <fgColor rgb="FFFFFF00"/>
        <bgColor indexed="64"/>
      </patternFill>
    </fill>
    <fill>
      <patternFill patternType="solid">
        <fgColor theme="3" tint="0.39994506668294322"/>
        <bgColor indexed="64"/>
      </patternFill>
    </fill>
    <fill>
      <patternFill patternType="solid">
        <fgColor theme="7"/>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5">
    <xf numFmtId="0" fontId="0" fillId="0" borderId="0" xfId="0"/>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0" fontId="0" fillId="0" borderId="0" xfId="0" applyAlignment="1">
      <alignment wrapText="1"/>
    </xf>
    <xf numFmtId="0" fontId="0" fillId="34" borderId="0" xfId="0" applyFill="1"/>
    <xf numFmtId="0" fontId="0" fillId="0" borderId="0" xfId="0" applyAlignment="1">
      <alignment horizontal="right"/>
    </xf>
    <xf numFmtId="1" fontId="0" fillId="0" borderId="0" xfId="0" applyNumberFormat="1"/>
    <xf numFmtId="0" fontId="0" fillId="0" borderId="10" xfId="0" applyBorder="1"/>
    <xf numFmtId="0" fontId="0" fillId="0" borderId="10" xfId="0" applyBorder="1" applyAlignment="1">
      <alignment horizontal="right"/>
    </xf>
    <xf numFmtId="1" fontId="0" fillId="0" borderId="10" xfId="0" applyNumberFormat="1" applyBorder="1"/>
    <xf numFmtId="0" fontId="0" fillId="35" borderId="10" xfId="0" applyFill="1" applyBorder="1" applyAlignment="1">
      <alignment horizontal="center"/>
    </xf>
    <xf numFmtId="0" fontId="0" fillId="34" borderId="10" xfId="0" applyFill="1" applyBorder="1" applyAlignment="1">
      <alignment horizontal="center"/>
    </xf>
    <xf numFmtId="1" fontId="0" fillId="34" borderId="10" xfId="0" applyNumberFormat="1" applyFill="1" applyBorder="1" applyAlignment="1">
      <alignment horizontal="center"/>
    </xf>
    <xf numFmtId="0" fontId="0" fillId="36" borderId="10" xfId="0" applyFill="1" applyBorder="1"/>
    <xf numFmtId="0" fontId="0" fillId="37" borderId="10" xfId="0" applyFill="1" applyBorder="1"/>
    <xf numFmtId="0" fontId="0" fillId="38" borderId="10" xfId="0" applyFill="1" applyBorder="1"/>
    <xf numFmtId="0" fontId="0" fillId="39" borderId="0" xfId="0" applyFill="1"/>
    <xf numFmtId="0" fontId="0" fillId="39" borderId="10" xfId="0" applyFill="1" applyBorder="1"/>
    <xf numFmtId="14" fontId="0" fillId="0" borderId="10" xfId="0" applyNumberFormat="1" applyBorder="1"/>
    <xf numFmtId="0" fontId="16" fillId="0" borderId="10" xfId="0" applyFont="1" applyBorder="1"/>
    <xf numFmtId="0" fontId="0" fillId="0" borderId="11" xfId="0" applyBorder="1"/>
    <xf numFmtId="0" fontId="0" fillId="0" borderId="0" xfId="0" applyAlignment="1">
      <alignment horizontal="center"/>
    </xf>
    <xf numFmtId="0" fontId="0" fillId="0" borderId="0" xfId="0"/>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sales.xlsm]Sheet2!PivotTable1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Total</c:v>
                </c:pt>
              </c:strCache>
            </c:strRef>
          </c:tx>
          <c:spPr>
            <a:solidFill>
              <a:schemeClr val="accent1"/>
            </a:solidFill>
            <a:ln>
              <a:noFill/>
            </a:ln>
            <a:effectLst/>
          </c:spPr>
          <c:invertIfNegative val="0"/>
          <c:cat>
            <c:strRef>
              <c:f>Sheet2!$A$4:$A$8</c:f>
              <c:strCache>
                <c:ptCount val="4"/>
                <c:pt idx="0">
                  <c:v>Clothing</c:v>
                </c:pt>
                <c:pt idx="1">
                  <c:v>Electronics</c:v>
                </c:pt>
                <c:pt idx="2">
                  <c:v>Food</c:v>
                </c:pt>
                <c:pt idx="3">
                  <c:v>Furniture</c:v>
                </c:pt>
              </c:strCache>
            </c:strRef>
          </c:cat>
          <c:val>
            <c:numRef>
              <c:f>Sheet2!$B$4:$B$8</c:f>
              <c:numCache>
                <c:formatCode>General</c:formatCode>
                <c:ptCount val="4"/>
                <c:pt idx="0">
                  <c:v>1313474.3599999999</c:v>
                </c:pt>
                <c:pt idx="1">
                  <c:v>1243499.6400000006</c:v>
                </c:pt>
                <c:pt idx="2">
                  <c:v>1201773.5399999998</c:v>
                </c:pt>
                <c:pt idx="3">
                  <c:v>1260517.6900000002</c:v>
                </c:pt>
              </c:numCache>
            </c:numRef>
          </c:val>
          <c:extLst>
            <c:ext xmlns:c16="http://schemas.microsoft.com/office/drawing/2014/chart" uri="{C3380CC4-5D6E-409C-BE32-E72D297353CC}">
              <c16:uniqueId val="{00000000-9754-4730-9D79-E2D311D4A9BB}"/>
            </c:ext>
          </c:extLst>
        </c:ser>
        <c:dLbls>
          <c:showLegendKey val="0"/>
          <c:showVal val="0"/>
          <c:showCatName val="0"/>
          <c:showSerName val="0"/>
          <c:showPercent val="0"/>
          <c:showBubbleSize val="0"/>
        </c:dLbls>
        <c:gapWidth val="219"/>
        <c:overlap val="-27"/>
        <c:axId val="1108699183"/>
        <c:axId val="1108705903"/>
      </c:barChart>
      <c:catAx>
        <c:axId val="1108699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705903"/>
        <c:crosses val="autoZero"/>
        <c:auto val="1"/>
        <c:lblAlgn val="ctr"/>
        <c:lblOffset val="100"/>
        <c:noMultiLvlLbl val="0"/>
      </c:catAx>
      <c:valAx>
        <c:axId val="11087059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699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sales.xlsm]Sheet2!PivotTable2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Sheet2!$B$11:$B$12</c:f>
              <c:strCache>
                <c:ptCount val="1"/>
                <c:pt idx="0">
                  <c:v>Clothing</c:v>
                </c:pt>
              </c:strCache>
            </c:strRef>
          </c:tx>
          <c:spPr>
            <a:solidFill>
              <a:schemeClr val="accent1"/>
            </a:solidFill>
            <a:ln>
              <a:noFill/>
            </a:ln>
            <a:effectLst/>
          </c:spPr>
          <c:invertIfNegative val="0"/>
          <c:cat>
            <c:strRef>
              <c:f>Sheet2!$A$13:$A$17</c:f>
              <c:strCache>
                <c:ptCount val="4"/>
                <c:pt idx="0">
                  <c:v>East</c:v>
                </c:pt>
                <c:pt idx="1">
                  <c:v>North</c:v>
                </c:pt>
                <c:pt idx="2">
                  <c:v>South</c:v>
                </c:pt>
                <c:pt idx="3">
                  <c:v>West</c:v>
                </c:pt>
              </c:strCache>
            </c:strRef>
          </c:cat>
          <c:val>
            <c:numRef>
              <c:f>Sheet2!$B$13:$B$17</c:f>
              <c:numCache>
                <c:formatCode>General</c:formatCode>
                <c:ptCount val="4"/>
                <c:pt idx="0">
                  <c:v>356670.40000000008</c:v>
                </c:pt>
                <c:pt idx="1">
                  <c:v>372977.22</c:v>
                </c:pt>
                <c:pt idx="2">
                  <c:v>269517.74</c:v>
                </c:pt>
                <c:pt idx="3">
                  <c:v>314309.00000000006</c:v>
                </c:pt>
              </c:numCache>
            </c:numRef>
          </c:val>
          <c:extLst>
            <c:ext xmlns:c16="http://schemas.microsoft.com/office/drawing/2014/chart" uri="{C3380CC4-5D6E-409C-BE32-E72D297353CC}">
              <c16:uniqueId val="{00000000-A4E6-45F5-8CA4-BD50F146D056}"/>
            </c:ext>
          </c:extLst>
        </c:ser>
        <c:ser>
          <c:idx val="1"/>
          <c:order val="1"/>
          <c:tx>
            <c:strRef>
              <c:f>Sheet2!$C$11:$C$12</c:f>
              <c:strCache>
                <c:ptCount val="1"/>
                <c:pt idx="0">
                  <c:v>Electronics</c:v>
                </c:pt>
              </c:strCache>
            </c:strRef>
          </c:tx>
          <c:spPr>
            <a:solidFill>
              <a:schemeClr val="accent2"/>
            </a:solidFill>
            <a:ln>
              <a:noFill/>
            </a:ln>
            <a:effectLst/>
          </c:spPr>
          <c:invertIfNegative val="0"/>
          <c:cat>
            <c:strRef>
              <c:f>Sheet2!$A$13:$A$17</c:f>
              <c:strCache>
                <c:ptCount val="4"/>
                <c:pt idx="0">
                  <c:v>East</c:v>
                </c:pt>
                <c:pt idx="1">
                  <c:v>North</c:v>
                </c:pt>
                <c:pt idx="2">
                  <c:v>South</c:v>
                </c:pt>
                <c:pt idx="3">
                  <c:v>West</c:v>
                </c:pt>
              </c:strCache>
            </c:strRef>
          </c:cat>
          <c:val>
            <c:numRef>
              <c:f>Sheet2!$C$13:$C$17</c:f>
              <c:numCache>
                <c:formatCode>General</c:formatCode>
                <c:ptCount val="4"/>
                <c:pt idx="0">
                  <c:v>303101.42</c:v>
                </c:pt>
                <c:pt idx="1">
                  <c:v>342666.29000000015</c:v>
                </c:pt>
                <c:pt idx="2">
                  <c:v>293663.96000000002</c:v>
                </c:pt>
                <c:pt idx="3">
                  <c:v>304067.97000000003</c:v>
                </c:pt>
              </c:numCache>
            </c:numRef>
          </c:val>
          <c:extLst>
            <c:ext xmlns:c16="http://schemas.microsoft.com/office/drawing/2014/chart" uri="{C3380CC4-5D6E-409C-BE32-E72D297353CC}">
              <c16:uniqueId val="{00000003-187F-46F0-87D9-08D394FB3982}"/>
            </c:ext>
          </c:extLst>
        </c:ser>
        <c:ser>
          <c:idx val="2"/>
          <c:order val="2"/>
          <c:tx>
            <c:strRef>
              <c:f>Sheet2!$D$11:$D$12</c:f>
              <c:strCache>
                <c:ptCount val="1"/>
                <c:pt idx="0">
                  <c:v>Food</c:v>
                </c:pt>
              </c:strCache>
            </c:strRef>
          </c:tx>
          <c:spPr>
            <a:solidFill>
              <a:schemeClr val="accent3"/>
            </a:solidFill>
            <a:ln>
              <a:noFill/>
            </a:ln>
            <a:effectLst/>
          </c:spPr>
          <c:invertIfNegative val="0"/>
          <c:cat>
            <c:strRef>
              <c:f>Sheet2!$A$13:$A$17</c:f>
              <c:strCache>
                <c:ptCount val="4"/>
                <c:pt idx="0">
                  <c:v>East</c:v>
                </c:pt>
                <c:pt idx="1">
                  <c:v>North</c:v>
                </c:pt>
                <c:pt idx="2">
                  <c:v>South</c:v>
                </c:pt>
                <c:pt idx="3">
                  <c:v>West</c:v>
                </c:pt>
              </c:strCache>
            </c:strRef>
          </c:cat>
          <c:val>
            <c:numRef>
              <c:f>Sheet2!$D$13:$D$17</c:f>
              <c:numCache>
                <c:formatCode>General</c:formatCode>
                <c:ptCount val="4"/>
                <c:pt idx="0">
                  <c:v>325864.87</c:v>
                </c:pt>
                <c:pt idx="1">
                  <c:v>258985.65</c:v>
                </c:pt>
                <c:pt idx="2">
                  <c:v>301187.51</c:v>
                </c:pt>
                <c:pt idx="3">
                  <c:v>315735.50999999995</c:v>
                </c:pt>
              </c:numCache>
            </c:numRef>
          </c:val>
          <c:extLst>
            <c:ext xmlns:c16="http://schemas.microsoft.com/office/drawing/2014/chart" uri="{C3380CC4-5D6E-409C-BE32-E72D297353CC}">
              <c16:uniqueId val="{00000004-187F-46F0-87D9-08D394FB3982}"/>
            </c:ext>
          </c:extLst>
        </c:ser>
        <c:ser>
          <c:idx val="3"/>
          <c:order val="3"/>
          <c:tx>
            <c:strRef>
              <c:f>Sheet2!$E$11:$E$12</c:f>
              <c:strCache>
                <c:ptCount val="1"/>
                <c:pt idx="0">
                  <c:v>Furniture</c:v>
                </c:pt>
              </c:strCache>
            </c:strRef>
          </c:tx>
          <c:spPr>
            <a:solidFill>
              <a:schemeClr val="accent4"/>
            </a:solidFill>
            <a:ln>
              <a:noFill/>
            </a:ln>
            <a:effectLst/>
          </c:spPr>
          <c:invertIfNegative val="0"/>
          <c:cat>
            <c:strRef>
              <c:f>Sheet2!$A$13:$A$17</c:f>
              <c:strCache>
                <c:ptCount val="4"/>
                <c:pt idx="0">
                  <c:v>East</c:v>
                </c:pt>
                <c:pt idx="1">
                  <c:v>North</c:v>
                </c:pt>
                <c:pt idx="2">
                  <c:v>South</c:v>
                </c:pt>
                <c:pt idx="3">
                  <c:v>West</c:v>
                </c:pt>
              </c:strCache>
            </c:strRef>
          </c:cat>
          <c:val>
            <c:numRef>
              <c:f>Sheet2!$E$13:$E$17</c:f>
              <c:numCache>
                <c:formatCode>General</c:formatCode>
                <c:ptCount val="4"/>
                <c:pt idx="0">
                  <c:v>274156.24</c:v>
                </c:pt>
                <c:pt idx="1">
                  <c:v>394983.35</c:v>
                </c:pt>
                <c:pt idx="2">
                  <c:v>289881.65000000008</c:v>
                </c:pt>
                <c:pt idx="3">
                  <c:v>301496.45</c:v>
                </c:pt>
              </c:numCache>
            </c:numRef>
          </c:val>
          <c:extLst>
            <c:ext xmlns:c16="http://schemas.microsoft.com/office/drawing/2014/chart" uri="{C3380CC4-5D6E-409C-BE32-E72D297353CC}">
              <c16:uniqueId val="{00000005-187F-46F0-87D9-08D394FB3982}"/>
            </c:ext>
          </c:extLst>
        </c:ser>
        <c:dLbls>
          <c:showLegendKey val="0"/>
          <c:showVal val="0"/>
          <c:showCatName val="0"/>
          <c:showSerName val="0"/>
          <c:showPercent val="0"/>
          <c:showBubbleSize val="0"/>
        </c:dLbls>
        <c:gapWidth val="219"/>
        <c:overlap val="-27"/>
        <c:axId val="1108715023"/>
        <c:axId val="1108698703"/>
      </c:barChart>
      <c:catAx>
        <c:axId val="1108715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698703"/>
        <c:crosses val="autoZero"/>
        <c:auto val="1"/>
        <c:lblAlgn val="ctr"/>
        <c:lblOffset val="100"/>
        <c:noMultiLvlLbl val="0"/>
      </c:catAx>
      <c:valAx>
        <c:axId val="11086987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715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sales.xlsm]Sheet2!PivotTable3</c:name>
    <c:fmtId val="1"/>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Sheet2!$B$19</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F50-4F4E-87BA-E5FC224C667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F50-4F4E-87BA-E5FC224C667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F50-4F4E-87BA-E5FC224C667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F50-4F4E-87BA-E5FC224C667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Sheet2!$A$20:$A$24</c:f>
              <c:strCache>
                <c:ptCount val="4"/>
                <c:pt idx="0">
                  <c:v>Clothing</c:v>
                </c:pt>
                <c:pt idx="1">
                  <c:v>Electronics</c:v>
                </c:pt>
                <c:pt idx="2">
                  <c:v>Food</c:v>
                </c:pt>
                <c:pt idx="3">
                  <c:v>Furniture</c:v>
                </c:pt>
              </c:strCache>
            </c:strRef>
          </c:cat>
          <c:val>
            <c:numRef>
              <c:f>Sheet2!$B$20:$B$24</c:f>
              <c:numCache>
                <c:formatCode>General</c:formatCode>
                <c:ptCount val="4"/>
                <c:pt idx="0">
                  <c:v>268</c:v>
                </c:pt>
                <c:pt idx="1">
                  <c:v>246</c:v>
                </c:pt>
                <c:pt idx="2">
                  <c:v>226</c:v>
                </c:pt>
                <c:pt idx="3">
                  <c:v>260</c:v>
                </c:pt>
              </c:numCache>
            </c:numRef>
          </c:val>
          <c:extLst>
            <c:ext xmlns:c16="http://schemas.microsoft.com/office/drawing/2014/chart" uri="{C3380CC4-5D6E-409C-BE32-E72D297353CC}">
              <c16:uniqueId val="{00000000-E7B9-4436-B4CA-9B31241B5CA2}"/>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sales.xlsm]Sheet2!PivotTable4</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Sheet2!$B$27</c:f>
              <c:strCache>
                <c:ptCount val="1"/>
                <c:pt idx="0">
                  <c:v>Total</c:v>
                </c:pt>
              </c:strCache>
            </c:strRef>
          </c:tx>
          <c:spPr>
            <a:ln w="28575" cap="rnd">
              <a:solidFill>
                <a:schemeClr val="accent1"/>
              </a:solidFill>
              <a:round/>
            </a:ln>
            <a:effectLst/>
          </c:spPr>
          <c:marker>
            <c:symbol val="none"/>
          </c:marker>
          <c:cat>
            <c:strRef>
              <c:f>Sheet2!$A$28:$A$40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Sheet2!$B$28:$B$40</c:f>
              <c:numCache>
                <c:formatCode>General</c:formatCode>
                <c:ptCount val="12"/>
                <c:pt idx="0">
                  <c:v>495420.37000000011</c:v>
                </c:pt>
                <c:pt idx="1">
                  <c:v>368919.35999999993</c:v>
                </c:pt>
                <c:pt idx="2">
                  <c:v>402638.77000000008</c:v>
                </c:pt>
                <c:pt idx="3">
                  <c:v>438992.61000000004</c:v>
                </c:pt>
                <c:pt idx="4">
                  <c:v>389078.75999999989</c:v>
                </c:pt>
                <c:pt idx="5">
                  <c:v>418458.34000000008</c:v>
                </c:pt>
                <c:pt idx="6">
                  <c:v>374242.88</c:v>
                </c:pt>
                <c:pt idx="7">
                  <c:v>443171.28</c:v>
                </c:pt>
                <c:pt idx="8">
                  <c:v>367837.60000000003</c:v>
                </c:pt>
                <c:pt idx="9">
                  <c:v>460378.78000000014</c:v>
                </c:pt>
                <c:pt idx="10">
                  <c:v>467482.89999999985</c:v>
                </c:pt>
                <c:pt idx="11">
                  <c:v>392643.57999999984</c:v>
                </c:pt>
              </c:numCache>
            </c:numRef>
          </c:val>
          <c:smooth val="0"/>
          <c:extLst>
            <c:ext xmlns:c16="http://schemas.microsoft.com/office/drawing/2014/chart" uri="{C3380CC4-5D6E-409C-BE32-E72D297353CC}">
              <c16:uniqueId val="{00000000-E2AA-4B27-B2CA-624476516E25}"/>
            </c:ext>
          </c:extLst>
        </c:ser>
        <c:dLbls>
          <c:showLegendKey val="0"/>
          <c:showVal val="0"/>
          <c:showCatName val="0"/>
          <c:showSerName val="0"/>
          <c:showPercent val="0"/>
          <c:showBubbleSize val="0"/>
        </c:dLbls>
        <c:smooth val="0"/>
        <c:axId val="1210637951"/>
        <c:axId val="1210638431"/>
      </c:lineChart>
      <c:catAx>
        <c:axId val="1210637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638431"/>
        <c:crosses val="autoZero"/>
        <c:auto val="1"/>
        <c:lblAlgn val="ctr"/>
        <c:lblOffset val="100"/>
        <c:noMultiLvlLbl val="0"/>
      </c:catAx>
      <c:valAx>
        <c:axId val="1210638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6379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sales.xlsm]Sheet2!PivotTable5</c:name>
    <c:fmtId val="4"/>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Sheet2!$B$44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398-4431-BDCB-6E216C2EAE5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398-4431-BDCB-6E216C2EAE5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398-4431-BDCB-6E216C2EAE5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Sheet2!$A$45:$A$48</c:f>
              <c:strCache>
                <c:ptCount val="3"/>
                <c:pt idx="0">
                  <c:v>Bank Transfer</c:v>
                </c:pt>
                <c:pt idx="1">
                  <c:v>Cash</c:v>
                </c:pt>
                <c:pt idx="2">
                  <c:v>Credit Card</c:v>
                </c:pt>
              </c:strCache>
            </c:strRef>
          </c:cat>
          <c:val>
            <c:numRef>
              <c:f>Sheet2!$B$45:$B$48</c:f>
              <c:numCache>
                <c:formatCode>General</c:formatCode>
                <c:ptCount val="3"/>
                <c:pt idx="0">
                  <c:v>342</c:v>
                </c:pt>
                <c:pt idx="1">
                  <c:v>313</c:v>
                </c:pt>
                <c:pt idx="2">
                  <c:v>345</c:v>
                </c:pt>
              </c:numCache>
            </c:numRef>
          </c:val>
          <c:extLst>
            <c:ext xmlns:c16="http://schemas.microsoft.com/office/drawing/2014/chart" uri="{C3380CC4-5D6E-409C-BE32-E72D297353CC}">
              <c16:uniqueId val="{00000000-DA35-4781-B6D3-C356112F65A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sales.xlsm]Sheet2!PivotTable6</c:name>
    <c:fmtId val="1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Sheet2!$C$52:$C$53</c:f>
              <c:strCache>
                <c:ptCount val="1"/>
                <c:pt idx="0">
                  <c:v>Clothing</c:v>
                </c:pt>
              </c:strCache>
            </c:strRef>
          </c:tx>
          <c:spPr>
            <a:solidFill>
              <a:schemeClr val="accent1"/>
            </a:solidFill>
            <a:ln>
              <a:noFill/>
            </a:ln>
            <a:effectLst/>
          </c:spPr>
          <c:invertIfNegative val="0"/>
          <c:cat>
            <c:strRef>
              <c:f>Sheet2!$B$54:$B$59</c:f>
              <c:strCache>
                <c:ptCount val="5"/>
                <c:pt idx="0">
                  <c:v>Alice</c:v>
                </c:pt>
                <c:pt idx="1">
                  <c:v>Bob</c:v>
                </c:pt>
                <c:pt idx="2">
                  <c:v>Charlie</c:v>
                </c:pt>
                <c:pt idx="3">
                  <c:v>David</c:v>
                </c:pt>
                <c:pt idx="4">
                  <c:v>Eve</c:v>
                </c:pt>
              </c:strCache>
            </c:strRef>
          </c:cat>
          <c:val>
            <c:numRef>
              <c:f>Sheet2!$C$54:$C$59</c:f>
              <c:numCache>
                <c:formatCode>General</c:formatCode>
                <c:ptCount val="5"/>
                <c:pt idx="0">
                  <c:v>235269.91000000003</c:v>
                </c:pt>
                <c:pt idx="1">
                  <c:v>254984.62000000002</c:v>
                </c:pt>
                <c:pt idx="2">
                  <c:v>243329.67000000007</c:v>
                </c:pt>
                <c:pt idx="3">
                  <c:v>318184.84000000003</c:v>
                </c:pt>
                <c:pt idx="4">
                  <c:v>261705.32000000004</c:v>
                </c:pt>
              </c:numCache>
            </c:numRef>
          </c:val>
          <c:extLst>
            <c:ext xmlns:c16="http://schemas.microsoft.com/office/drawing/2014/chart" uri="{C3380CC4-5D6E-409C-BE32-E72D297353CC}">
              <c16:uniqueId val="{00000000-B1CC-42DF-87B1-F72F7EA0DEC2}"/>
            </c:ext>
          </c:extLst>
        </c:ser>
        <c:ser>
          <c:idx val="1"/>
          <c:order val="1"/>
          <c:tx>
            <c:strRef>
              <c:f>Sheet2!$D$52:$D$53</c:f>
              <c:strCache>
                <c:ptCount val="1"/>
                <c:pt idx="0">
                  <c:v>Electronics</c:v>
                </c:pt>
              </c:strCache>
            </c:strRef>
          </c:tx>
          <c:spPr>
            <a:solidFill>
              <a:schemeClr val="accent2"/>
            </a:solidFill>
            <a:ln>
              <a:noFill/>
            </a:ln>
            <a:effectLst/>
          </c:spPr>
          <c:invertIfNegative val="0"/>
          <c:cat>
            <c:strRef>
              <c:f>Sheet2!$B$54:$B$59</c:f>
              <c:strCache>
                <c:ptCount val="5"/>
                <c:pt idx="0">
                  <c:v>Alice</c:v>
                </c:pt>
                <c:pt idx="1">
                  <c:v>Bob</c:v>
                </c:pt>
                <c:pt idx="2">
                  <c:v>Charlie</c:v>
                </c:pt>
                <c:pt idx="3">
                  <c:v>David</c:v>
                </c:pt>
                <c:pt idx="4">
                  <c:v>Eve</c:v>
                </c:pt>
              </c:strCache>
            </c:strRef>
          </c:cat>
          <c:val>
            <c:numRef>
              <c:f>Sheet2!$D$54:$D$59</c:f>
              <c:numCache>
                <c:formatCode>General</c:formatCode>
                <c:ptCount val="5"/>
                <c:pt idx="0">
                  <c:v>262316.28999999992</c:v>
                </c:pt>
                <c:pt idx="1">
                  <c:v>248596.33999999997</c:v>
                </c:pt>
                <c:pt idx="2">
                  <c:v>214363.09</c:v>
                </c:pt>
                <c:pt idx="3">
                  <c:v>240443.35999999993</c:v>
                </c:pt>
                <c:pt idx="4">
                  <c:v>277780.56000000011</c:v>
                </c:pt>
              </c:numCache>
            </c:numRef>
          </c:val>
          <c:extLst>
            <c:ext xmlns:c16="http://schemas.microsoft.com/office/drawing/2014/chart" uri="{C3380CC4-5D6E-409C-BE32-E72D297353CC}">
              <c16:uniqueId val="{00000003-ACAC-4A2D-A137-912E4997C5CE}"/>
            </c:ext>
          </c:extLst>
        </c:ser>
        <c:ser>
          <c:idx val="2"/>
          <c:order val="2"/>
          <c:tx>
            <c:strRef>
              <c:f>Sheet2!$E$52:$E$53</c:f>
              <c:strCache>
                <c:ptCount val="1"/>
                <c:pt idx="0">
                  <c:v>Food</c:v>
                </c:pt>
              </c:strCache>
            </c:strRef>
          </c:tx>
          <c:spPr>
            <a:solidFill>
              <a:schemeClr val="accent3"/>
            </a:solidFill>
            <a:ln>
              <a:noFill/>
            </a:ln>
            <a:effectLst/>
          </c:spPr>
          <c:invertIfNegative val="0"/>
          <c:cat>
            <c:strRef>
              <c:f>Sheet2!$B$54:$B$59</c:f>
              <c:strCache>
                <c:ptCount val="5"/>
                <c:pt idx="0">
                  <c:v>Alice</c:v>
                </c:pt>
                <c:pt idx="1">
                  <c:v>Bob</c:v>
                </c:pt>
                <c:pt idx="2">
                  <c:v>Charlie</c:v>
                </c:pt>
                <c:pt idx="3">
                  <c:v>David</c:v>
                </c:pt>
                <c:pt idx="4">
                  <c:v>Eve</c:v>
                </c:pt>
              </c:strCache>
            </c:strRef>
          </c:cat>
          <c:val>
            <c:numRef>
              <c:f>Sheet2!$E$54:$E$59</c:f>
              <c:numCache>
                <c:formatCode>General</c:formatCode>
                <c:ptCount val="5"/>
                <c:pt idx="0">
                  <c:v>226832.15999999997</c:v>
                </c:pt>
                <c:pt idx="1">
                  <c:v>312988.52</c:v>
                </c:pt>
                <c:pt idx="2">
                  <c:v>182441.71000000002</c:v>
                </c:pt>
                <c:pt idx="3">
                  <c:v>281658.52999999991</c:v>
                </c:pt>
                <c:pt idx="4">
                  <c:v>197852.62</c:v>
                </c:pt>
              </c:numCache>
            </c:numRef>
          </c:val>
          <c:extLst>
            <c:ext xmlns:c16="http://schemas.microsoft.com/office/drawing/2014/chart" uri="{C3380CC4-5D6E-409C-BE32-E72D297353CC}">
              <c16:uniqueId val="{00000004-ACAC-4A2D-A137-912E4997C5CE}"/>
            </c:ext>
          </c:extLst>
        </c:ser>
        <c:ser>
          <c:idx val="3"/>
          <c:order val="3"/>
          <c:tx>
            <c:strRef>
              <c:f>Sheet2!$F$52:$F$53</c:f>
              <c:strCache>
                <c:ptCount val="1"/>
                <c:pt idx="0">
                  <c:v>Furniture</c:v>
                </c:pt>
              </c:strCache>
            </c:strRef>
          </c:tx>
          <c:spPr>
            <a:solidFill>
              <a:schemeClr val="accent4"/>
            </a:solidFill>
            <a:ln>
              <a:noFill/>
            </a:ln>
            <a:effectLst/>
          </c:spPr>
          <c:invertIfNegative val="0"/>
          <c:cat>
            <c:strRef>
              <c:f>Sheet2!$B$54:$B$59</c:f>
              <c:strCache>
                <c:ptCount val="5"/>
                <c:pt idx="0">
                  <c:v>Alice</c:v>
                </c:pt>
                <c:pt idx="1">
                  <c:v>Bob</c:v>
                </c:pt>
                <c:pt idx="2">
                  <c:v>Charlie</c:v>
                </c:pt>
                <c:pt idx="3">
                  <c:v>David</c:v>
                </c:pt>
                <c:pt idx="4">
                  <c:v>Eve</c:v>
                </c:pt>
              </c:strCache>
            </c:strRef>
          </c:cat>
          <c:val>
            <c:numRef>
              <c:f>Sheet2!$F$54:$F$59</c:f>
              <c:numCache>
                <c:formatCode>General</c:formatCode>
                <c:ptCount val="5"/>
                <c:pt idx="0">
                  <c:v>241123.41</c:v>
                </c:pt>
                <c:pt idx="1">
                  <c:v>264421.14999999997</c:v>
                </c:pt>
                <c:pt idx="2">
                  <c:v>220677.01000000004</c:v>
                </c:pt>
                <c:pt idx="3">
                  <c:v>301450.63000000006</c:v>
                </c:pt>
                <c:pt idx="4">
                  <c:v>232845.49000000008</c:v>
                </c:pt>
              </c:numCache>
            </c:numRef>
          </c:val>
          <c:extLst>
            <c:ext xmlns:c16="http://schemas.microsoft.com/office/drawing/2014/chart" uri="{C3380CC4-5D6E-409C-BE32-E72D297353CC}">
              <c16:uniqueId val="{00000005-ACAC-4A2D-A137-912E4997C5CE}"/>
            </c:ext>
          </c:extLst>
        </c:ser>
        <c:dLbls>
          <c:showLegendKey val="0"/>
          <c:showVal val="0"/>
          <c:showCatName val="0"/>
          <c:showSerName val="0"/>
          <c:showPercent val="0"/>
          <c:showBubbleSize val="0"/>
        </c:dLbls>
        <c:gapWidth val="150"/>
        <c:overlap val="100"/>
        <c:axId val="1297891087"/>
        <c:axId val="1297905967"/>
      </c:barChart>
      <c:catAx>
        <c:axId val="1297891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905967"/>
        <c:crosses val="autoZero"/>
        <c:auto val="1"/>
        <c:lblAlgn val="ctr"/>
        <c:lblOffset val="100"/>
        <c:noMultiLvlLbl val="0"/>
      </c:catAx>
      <c:valAx>
        <c:axId val="1297905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891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sales.xlsm]Sheet2!PivotTable1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94137170100701"/>
          <c:y val="0.2401367016622922"/>
          <c:w val="0.77580785701382471"/>
          <c:h val="0.53774387576552929"/>
        </c:manualLayout>
      </c:layout>
      <c:barChart>
        <c:barDir val="col"/>
        <c:grouping val="clustered"/>
        <c:varyColors val="0"/>
        <c:ser>
          <c:idx val="0"/>
          <c:order val="0"/>
          <c:tx>
            <c:strRef>
              <c:f>Sheet2!$B$3</c:f>
              <c:strCache>
                <c:ptCount val="1"/>
                <c:pt idx="0">
                  <c:v>Total</c:v>
                </c:pt>
              </c:strCache>
            </c:strRef>
          </c:tx>
          <c:spPr>
            <a:solidFill>
              <a:schemeClr val="accent1"/>
            </a:solidFill>
            <a:ln>
              <a:noFill/>
            </a:ln>
            <a:effectLst/>
          </c:spPr>
          <c:invertIfNegative val="0"/>
          <c:cat>
            <c:strRef>
              <c:f>Sheet2!$A$4:$A$8</c:f>
              <c:strCache>
                <c:ptCount val="4"/>
                <c:pt idx="0">
                  <c:v>Clothing</c:v>
                </c:pt>
                <c:pt idx="1">
                  <c:v>Electronics</c:v>
                </c:pt>
                <c:pt idx="2">
                  <c:v>Food</c:v>
                </c:pt>
                <c:pt idx="3">
                  <c:v>Furniture</c:v>
                </c:pt>
              </c:strCache>
            </c:strRef>
          </c:cat>
          <c:val>
            <c:numRef>
              <c:f>Sheet2!$B$4:$B$8</c:f>
              <c:numCache>
                <c:formatCode>General</c:formatCode>
                <c:ptCount val="4"/>
                <c:pt idx="0">
                  <c:v>1313474.3599999999</c:v>
                </c:pt>
                <c:pt idx="1">
                  <c:v>1243499.6400000006</c:v>
                </c:pt>
                <c:pt idx="2">
                  <c:v>1201773.5399999998</c:v>
                </c:pt>
                <c:pt idx="3">
                  <c:v>1260517.6900000002</c:v>
                </c:pt>
              </c:numCache>
            </c:numRef>
          </c:val>
          <c:extLst>
            <c:ext xmlns:c16="http://schemas.microsoft.com/office/drawing/2014/chart" uri="{C3380CC4-5D6E-409C-BE32-E72D297353CC}">
              <c16:uniqueId val="{00000000-C8B4-4060-B036-5F62219905FB}"/>
            </c:ext>
          </c:extLst>
        </c:ser>
        <c:dLbls>
          <c:showLegendKey val="0"/>
          <c:showVal val="0"/>
          <c:showCatName val="0"/>
          <c:showSerName val="0"/>
          <c:showPercent val="0"/>
          <c:showBubbleSize val="0"/>
        </c:dLbls>
        <c:gapWidth val="219"/>
        <c:overlap val="-27"/>
        <c:axId val="1108699183"/>
        <c:axId val="1108705903"/>
      </c:barChart>
      <c:catAx>
        <c:axId val="1108699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705903"/>
        <c:crosses val="autoZero"/>
        <c:auto val="1"/>
        <c:lblAlgn val="ctr"/>
        <c:lblOffset val="100"/>
        <c:noMultiLvlLbl val="0"/>
      </c:catAx>
      <c:valAx>
        <c:axId val="1108705903"/>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699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sales.xlsm]Sheet2!PivotTable2</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Sheet2!$B$11:$B$12</c:f>
              <c:strCache>
                <c:ptCount val="1"/>
                <c:pt idx="0">
                  <c:v>Clothing</c:v>
                </c:pt>
              </c:strCache>
            </c:strRef>
          </c:tx>
          <c:spPr>
            <a:solidFill>
              <a:schemeClr val="accent1"/>
            </a:solidFill>
            <a:ln>
              <a:noFill/>
            </a:ln>
            <a:effectLst/>
          </c:spPr>
          <c:invertIfNegative val="0"/>
          <c:cat>
            <c:strRef>
              <c:f>Sheet2!$A$13:$A$17</c:f>
              <c:strCache>
                <c:ptCount val="4"/>
                <c:pt idx="0">
                  <c:v>East</c:v>
                </c:pt>
                <c:pt idx="1">
                  <c:v>North</c:v>
                </c:pt>
                <c:pt idx="2">
                  <c:v>South</c:v>
                </c:pt>
                <c:pt idx="3">
                  <c:v>West</c:v>
                </c:pt>
              </c:strCache>
            </c:strRef>
          </c:cat>
          <c:val>
            <c:numRef>
              <c:f>Sheet2!$B$13:$B$17</c:f>
              <c:numCache>
                <c:formatCode>General</c:formatCode>
                <c:ptCount val="4"/>
                <c:pt idx="0">
                  <c:v>356670.40000000008</c:v>
                </c:pt>
                <c:pt idx="1">
                  <c:v>372977.22</c:v>
                </c:pt>
                <c:pt idx="2">
                  <c:v>269517.74</c:v>
                </c:pt>
                <c:pt idx="3">
                  <c:v>314309.00000000006</c:v>
                </c:pt>
              </c:numCache>
            </c:numRef>
          </c:val>
          <c:extLst>
            <c:ext xmlns:c16="http://schemas.microsoft.com/office/drawing/2014/chart" uri="{C3380CC4-5D6E-409C-BE32-E72D297353CC}">
              <c16:uniqueId val="{00000000-5355-4CA7-A52C-E3B66873F76C}"/>
            </c:ext>
          </c:extLst>
        </c:ser>
        <c:ser>
          <c:idx val="1"/>
          <c:order val="1"/>
          <c:tx>
            <c:strRef>
              <c:f>Sheet2!$C$11:$C$12</c:f>
              <c:strCache>
                <c:ptCount val="1"/>
                <c:pt idx="0">
                  <c:v>Electronics</c:v>
                </c:pt>
              </c:strCache>
            </c:strRef>
          </c:tx>
          <c:spPr>
            <a:solidFill>
              <a:schemeClr val="accent2"/>
            </a:solidFill>
            <a:ln>
              <a:noFill/>
            </a:ln>
            <a:effectLst/>
          </c:spPr>
          <c:invertIfNegative val="0"/>
          <c:cat>
            <c:strRef>
              <c:f>Sheet2!$A$13:$A$17</c:f>
              <c:strCache>
                <c:ptCount val="4"/>
                <c:pt idx="0">
                  <c:v>East</c:v>
                </c:pt>
                <c:pt idx="1">
                  <c:v>North</c:v>
                </c:pt>
                <c:pt idx="2">
                  <c:v>South</c:v>
                </c:pt>
                <c:pt idx="3">
                  <c:v>West</c:v>
                </c:pt>
              </c:strCache>
            </c:strRef>
          </c:cat>
          <c:val>
            <c:numRef>
              <c:f>Sheet2!$C$13:$C$17</c:f>
              <c:numCache>
                <c:formatCode>General</c:formatCode>
                <c:ptCount val="4"/>
                <c:pt idx="0">
                  <c:v>303101.42</c:v>
                </c:pt>
                <c:pt idx="1">
                  <c:v>342666.29000000015</c:v>
                </c:pt>
                <c:pt idx="2">
                  <c:v>293663.96000000002</c:v>
                </c:pt>
                <c:pt idx="3">
                  <c:v>304067.97000000003</c:v>
                </c:pt>
              </c:numCache>
            </c:numRef>
          </c:val>
          <c:extLst>
            <c:ext xmlns:c16="http://schemas.microsoft.com/office/drawing/2014/chart" uri="{C3380CC4-5D6E-409C-BE32-E72D297353CC}">
              <c16:uniqueId val="{00000004-CCA1-4C96-968D-10A6EA4E4473}"/>
            </c:ext>
          </c:extLst>
        </c:ser>
        <c:ser>
          <c:idx val="2"/>
          <c:order val="2"/>
          <c:tx>
            <c:strRef>
              <c:f>Sheet2!$D$11:$D$12</c:f>
              <c:strCache>
                <c:ptCount val="1"/>
                <c:pt idx="0">
                  <c:v>Food</c:v>
                </c:pt>
              </c:strCache>
            </c:strRef>
          </c:tx>
          <c:spPr>
            <a:solidFill>
              <a:schemeClr val="accent3"/>
            </a:solidFill>
            <a:ln>
              <a:noFill/>
            </a:ln>
            <a:effectLst/>
          </c:spPr>
          <c:invertIfNegative val="0"/>
          <c:cat>
            <c:strRef>
              <c:f>Sheet2!$A$13:$A$17</c:f>
              <c:strCache>
                <c:ptCount val="4"/>
                <c:pt idx="0">
                  <c:v>East</c:v>
                </c:pt>
                <c:pt idx="1">
                  <c:v>North</c:v>
                </c:pt>
                <c:pt idx="2">
                  <c:v>South</c:v>
                </c:pt>
                <c:pt idx="3">
                  <c:v>West</c:v>
                </c:pt>
              </c:strCache>
            </c:strRef>
          </c:cat>
          <c:val>
            <c:numRef>
              <c:f>Sheet2!$D$13:$D$17</c:f>
              <c:numCache>
                <c:formatCode>General</c:formatCode>
                <c:ptCount val="4"/>
                <c:pt idx="0">
                  <c:v>325864.87</c:v>
                </c:pt>
                <c:pt idx="1">
                  <c:v>258985.65</c:v>
                </c:pt>
                <c:pt idx="2">
                  <c:v>301187.51</c:v>
                </c:pt>
                <c:pt idx="3">
                  <c:v>315735.50999999995</c:v>
                </c:pt>
              </c:numCache>
            </c:numRef>
          </c:val>
          <c:extLst>
            <c:ext xmlns:c16="http://schemas.microsoft.com/office/drawing/2014/chart" uri="{C3380CC4-5D6E-409C-BE32-E72D297353CC}">
              <c16:uniqueId val="{00000005-CCA1-4C96-968D-10A6EA4E4473}"/>
            </c:ext>
          </c:extLst>
        </c:ser>
        <c:ser>
          <c:idx val="3"/>
          <c:order val="3"/>
          <c:tx>
            <c:strRef>
              <c:f>Sheet2!$E$11:$E$12</c:f>
              <c:strCache>
                <c:ptCount val="1"/>
                <c:pt idx="0">
                  <c:v>Furniture</c:v>
                </c:pt>
              </c:strCache>
            </c:strRef>
          </c:tx>
          <c:spPr>
            <a:solidFill>
              <a:schemeClr val="accent4"/>
            </a:solidFill>
            <a:ln>
              <a:noFill/>
            </a:ln>
            <a:effectLst/>
          </c:spPr>
          <c:invertIfNegative val="0"/>
          <c:cat>
            <c:strRef>
              <c:f>Sheet2!$A$13:$A$17</c:f>
              <c:strCache>
                <c:ptCount val="4"/>
                <c:pt idx="0">
                  <c:v>East</c:v>
                </c:pt>
                <c:pt idx="1">
                  <c:v>North</c:v>
                </c:pt>
                <c:pt idx="2">
                  <c:v>South</c:v>
                </c:pt>
                <c:pt idx="3">
                  <c:v>West</c:v>
                </c:pt>
              </c:strCache>
            </c:strRef>
          </c:cat>
          <c:val>
            <c:numRef>
              <c:f>Sheet2!$E$13:$E$17</c:f>
              <c:numCache>
                <c:formatCode>General</c:formatCode>
                <c:ptCount val="4"/>
                <c:pt idx="0">
                  <c:v>274156.24</c:v>
                </c:pt>
                <c:pt idx="1">
                  <c:v>394983.35</c:v>
                </c:pt>
                <c:pt idx="2">
                  <c:v>289881.65000000008</c:v>
                </c:pt>
                <c:pt idx="3">
                  <c:v>301496.45</c:v>
                </c:pt>
              </c:numCache>
            </c:numRef>
          </c:val>
          <c:extLst>
            <c:ext xmlns:c16="http://schemas.microsoft.com/office/drawing/2014/chart" uri="{C3380CC4-5D6E-409C-BE32-E72D297353CC}">
              <c16:uniqueId val="{00000006-CCA1-4C96-968D-10A6EA4E4473}"/>
            </c:ext>
          </c:extLst>
        </c:ser>
        <c:dLbls>
          <c:showLegendKey val="0"/>
          <c:showVal val="0"/>
          <c:showCatName val="0"/>
          <c:showSerName val="0"/>
          <c:showPercent val="0"/>
          <c:showBubbleSize val="0"/>
        </c:dLbls>
        <c:gapWidth val="219"/>
        <c:overlap val="-27"/>
        <c:axId val="1108715023"/>
        <c:axId val="1108698703"/>
      </c:barChart>
      <c:catAx>
        <c:axId val="1108715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698703"/>
        <c:crosses val="autoZero"/>
        <c:auto val="1"/>
        <c:lblAlgn val="ctr"/>
        <c:lblOffset val="100"/>
        <c:noMultiLvlLbl val="0"/>
      </c:catAx>
      <c:valAx>
        <c:axId val="1108698703"/>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715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sales.xlsm]Sheet2!PivotTable4</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Sheet2!$B$27</c:f>
              <c:strCache>
                <c:ptCount val="1"/>
                <c:pt idx="0">
                  <c:v>Total</c:v>
                </c:pt>
              </c:strCache>
            </c:strRef>
          </c:tx>
          <c:spPr>
            <a:ln w="28575" cap="rnd">
              <a:solidFill>
                <a:schemeClr val="accent1"/>
              </a:solidFill>
              <a:round/>
            </a:ln>
            <a:effectLst/>
          </c:spPr>
          <c:marker>
            <c:symbol val="none"/>
          </c:marker>
          <c:cat>
            <c:strRef>
              <c:f>Sheet2!$A$28:$A$40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Sheet2!$B$28:$B$40</c:f>
              <c:numCache>
                <c:formatCode>General</c:formatCode>
                <c:ptCount val="12"/>
                <c:pt idx="0">
                  <c:v>495420.37000000011</c:v>
                </c:pt>
                <c:pt idx="1">
                  <c:v>368919.35999999993</c:v>
                </c:pt>
                <c:pt idx="2">
                  <c:v>402638.77000000008</c:v>
                </c:pt>
                <c:pt idx="3">
                  <c:v>438992.61000000004</c:v>
                </c:pt>
                <c:pt idx="4">
                  <c:v>389078.75999999989</c:v>
                </c:pt>
                <c:pt idx="5">
                  <c:v>418458.34000000008</c:v>
                </c:pt>
                <c:pt idx="6">
                  <c:v>374242.88</c:v>
                </c:pt>
                <c:pt idx="7">
                  <c:v>443171.28</c:v>
                </c:pt>
                <c:pt idx="8">
                  <c:v>367837.60000000003</c:v>
                </c:pt>
                <c:pt idx="9">
                  <c:v>460378.78000000014</c:v>
                </c:pt>
                <c:pt idx="10">
                  <c:v>467482.89999999985</c:v>
                </c:pt>
                <c:pt idx="11">
                  <c:v>392643.57999999984</c:v>
                </c:pt>
              </c:numCache>
            </c:numRef>
          </c:val>
          <c:smooth val="0"/>
          <c:extLst>
            <c:ext xmlns:c16="http://schemas.microsoft.com/office/drawing/2014/chart" uri="{C3380CC4-5D6E-409C-BE32-E72D297353CC}">
              <c16:uniqueId val="{00000000-30FB-40EE-989D-6CE0D0E34D5C}"/>
            </c:ext>
          </c:extLst>
        </c:ser>
        <c:dLbls>
          <c:showLegendKey val="0"/>
          <c:showVal val="0"/>
          <c:showCatName val="0"/>
          <c:showSerName val="0"/>
          <c:showPercent val="0"/>
          <c:showBubbleSize val="0"/>
        </c:dLbls>
        <c:smooth val="0"/>
        <c:axId val="1210637951"/>
        <c:axId val="1210638431"/>
      </c:lineChart>
      <c:catAx>
        <c:axId val="1210637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638431"/>
        <c:crosses val="autoZero"/>
        <c:auto val="1"/>
        <c:lblAlgn val="ctr"/>
        <c:lblOffset val="100"/>
        <c:noMultiLvlLbl val="0"/>
      </c:catAx>
      <c:valAx>
        <c:axId val="121063843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6379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sales.xlsm]Sheet2!PivotTable3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Qunatity sold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Sheet2!$B$19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932-404D-B4F2-4166A2ADC94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932-404D-B4F2-4166A2ADC94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932-404D-B4F2-4166A2ADC94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932-404D-B4F2-4166A2ADC94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Sheet2!$A$20:$A$24</c:f>
              <c:strCache>
                <c:ptCount val="4"/>
                <c:pt idx="0">
                  <c:v>Clothing</c:v>
                </c:pt>
                <c:pt idx="1">
                  <c:v>Electronics</c:v>
                </c:pt>
                <c:pt idx="2">
                  <c:v>Food</c:v>
                </c:pt>
                <c:pt idx="3">
                  <c:v>Furniture</c:v>
                </c:pt>
              </c:strCache>
            </c:strRef>
          </c:cat>
          <c:val>
            <c:numRef>
              <c:f>Sheet2!$B$20:$B$24</c:f>
              <c:numCache>
                <c:formatCode>General</c:formatCode>
                <c:ptCount val="4"/>
                <c:pt idx="0">
                  <c:v>268</c:v>
                </c:pt>
                <c:pt idx="1">
                  <c:v>246</c:v>
                </c:pt>
                <c:pt idx="2">
                  <c:v>226</c:v>
                </c:pt>
                <c:pt idx="3">
                  <c:v>260</c:v>
                </c:pt>
              </c:numCache>
            </c:numRef>
          </c:val>
          <c:extLst>
            <c:ext xmlns:c16="http://schemas.microsoft.com/office/drawing/2014/chart" uri="{C3380CC4-5D6E-409C-BE32-E72D297353CC}">
              <c16:uniqueId val="{00000008-9932-404D-B4F2-4166A2ADC94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sales.xlsm]Sheet2!PivotTable5</c:name>
    <c:fmtId val="9"/>
  </c:pivotSource>
  <c:chart>
    <c:autoTitleDeleted val="1"/>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dLbl>
          <c:idx val="0"/>
          <c:showLegendKey val="0"/>
          <c:showVal val="0"/>
          <c:showCatName val="0"/>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s>
    <c:plotArea>
      <c:layout/>
      <c:doughnutChart>
        <c:varyColors val="1"/>
        <c:ser>
          <c:idx val="0"/>
          <c:order val="0"/>
          <c:tx>
            <c:strRef>
              <c:f>Sheet2!$B$44</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E47F-4ECE-B581-F82EE434D387}"/>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E47F-4ECE-B581-F82EE434D387}"/>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E47F-4ECE-B581-F82EE434D38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Sheet2!$A$45:$A$48</c:f>
              <c:strCache>
                <c:ptCount val="3"/>
                <c:pt idx="0">
                  <c:v>Bank Transfer</c:v>
                </c:pt>
                <c:pt idx="1">
                  <c:v>Cash</c:v>
                </c:pt>
                <c:pt idx="2">
                  <c:v>Credit Card</c:v>
                </c:pt>
              </c:strCache>
            </c:strRef>
          </c:cat>
          <c:val>
            <c:numRef>
              <c:f>Sheet2!$B$45:$B$48</c:f>
              <c:numCache>
                <c:formatCode>General</c:formatCode>
                <c:ptCount val="3"/>
                <c:pt idx="0">
                  <c:v>342</c:v>
                </c:pt>
                <c:pt idx="1">
                  <c:v>313</c:v>
                </c:pt>
                <c:pt idx="2">
                  <c:v>345</c:v>
                </c:pt>
              </c:numCache>
            </c:numRef>
          </c:val>
          <c:extLst>
            <c:ext xmlns:c16="http://schemas.microsoft.com/office/drawing/2014/chart" uri="{C3380CC4-5D6E-409C-BE32-E72D297353CC}">
              <c16:uniqueId val="{0000000E-E47F-4ECE-B581-F82EE434D387}"/>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sales.xlsm]Sheet2!PivotTable6</c:name>
    <c:fmtId val="2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Sheet2!$C$52:$C$53</c:f>
              <c:strCache>
                <c:ptCount val="1"/>
                <c:pt idx="0">
                  <c:v>Clothing</c:v>
                </c:pt>
              </c:strCache>
            </c:strRef>
          </c:tx>
          <c:spPr>
            <a:solidFill>
              <a:schemeClr val="accent1"/>
            </a:solidFill>
            <a:ln>
              <a:noFill/>
            </a:ln>
            <a:effectLst/>
          </c:spPr>
          <c:invertIfNegative val="0"/>
          <c:cat>
            <c:strRef>
              <c:f>Sheet2!$B$54:$B$59</c:f>
              <c:strCache>
                <c:ptCount val="5"/>
                <c:pt idx="0">
                  <c:v>Alice</c:v>
                </c:pt>
                <c:pt idx="1">
                  <c:v>Bob</c:v>
                </c:pt>
                <c:pt idx="2">
                  <c:v>Charlie</c:v>
                </c:pt>
                <c:pt idx="3">
                  <c:v>David</c:v>
                </c:pt>
                <c:pt idx="4">
                  <c:v>Eve</c:v>
                </c:pt>
              </c:strCache>
            </c:strRef>
          </c:cat>
          <c:val>
            <c:numRef>
              <c:f>Sheet2!$C$54:$C$59</c:f>
              <c:numCache>
                <c:formatCode>General</c:formatCode>
                <c:ptCount val="5"/>
                <c:pt idx="0">
                  <c:v>235269.91000000003</c:v>
                </c:pt>
                <c:pt idx="1">
                  <c:v>254984.62000000002</c:v>
                </c:pt>
                <c:pt idx="2">
                  <c:v>243329.67000000007</c:v>
                </c:pt>
                <c:pt idx="3">
                  <c:v>318184.84000000003</c:v>
                </c:pt>
                <c:pt idx="4">
                  <c:v>261705.32000000004</c:v>
                </c:pt>
              </c:numCache>
            </c:numRef>
          </c:val>
          <c:extLst>
            <c:ext xmlns:c16="http://schemas.microsoft.com/office/drawing/2014/chart" uri="{C3380CC4-5D6E-409C-BE32-E72D297353CC}">
              <c16:uniqueId val="{00000000-7233-4014-A439-F91986EA9FCF}"/>
            </c:ext>
          </c:extLst>
        </c:ser>
        <c:ser>
          <c:idx val="1"/>
          <c:order val="1"/>
          <c:tx>
            <c:strRef>
              <c:f>Sheet2!$D$52:$D$53</c:f>
              <c:strCache>
                <c:ptCount val="1"/>
                <c:pt idx="0">
                  <c:v>Electronics</c:v>
                </c:pt>
              </c:strCache>
            </c:strRef>
          </c:tx>
          <c:spPr>
            <a:solidFill>
              <a:schemeClr val="accent2"/>
            </a:solidFill>
            <a:ln>
              <a:noFill/>
            </a:ln>
            <a:effectLst/>
          </c:spPr>
          <c:invertIfNegative val="0"/>
          <c:cat>
            <c:strRef>
              <c:f>Sheet2!$B$54:$B$59</c:f>
              <c:strCache>
                <c:ptCount val="5"/>
                <c:pt idx="0">
                  <c:v>Alice</c:v>
                </c:pt>
                <c:pt idx="1">
                  <c:v>Bob</c:v>
                </c:pt>
                <c:pt idx="2">
                  <c:v>Charlie</c:v>
                </c:pt>
                <c:pt idx="3">
                  <c:v>David</c:v>
                </c:pt>
                <c:pt idx="4">
                  <c:v>Eve</c:v>
                </c:pt>
              </c:strCache>
            </c:strRef>
          </c:cat>
          <c:val>
            <c:numRef>
              <c:f>Sheet2!$D$54:$D$59</c:f>
              <c:numCache>
                <c:formatCode>General</c:formatCode>
                <c:ptCount val="5"/>
                <c:pt idx="0">
                  <c:v>262316.28999999992</c:v>
                </c:pt>
                <c:pt idx="1">
                  <c:v>248596.33999999997</c:v>
                </c:pt>
                <c:pt idx="2">
                  <c:v>214363.09</c:v>
                </c:pt>
                <c:pt idx="3">
                  <c:v>240443.35999999993</c:v>
                </c:pt>
                <c:pt idx="4">
                  <c:v>277780.56000000011</c:v>
                </c:pt>
              </c:numCache>
            </c:numRef>
          </c:val>
          <c:extLst>
            <c:ext xmlns:c16="http://schemas.microsoft.com/office/drawing/2014/chart" uri="{C3380CC4-5D6E-409C-BE32-E72D297353CC}">
              <c16:uniqueId val="{00000004-E406-4A23-999C-73B8068E1CF7}"/>
            </c:ext>
          </c:extLst>
        </c:ser>
        <c:ser>
          <c:idx val="2"/>
          <c:order val="2"/>
          <c:tx>
            <c:strRef>
              <c:f>Sheet2!$E$52:$E$53</c:f>
              <c:strCache>
                <c:ptCount val="1"/>
                <c:pt idx="0">
                  <c:v>Food</c:v>
                </c:pt>
              </c:strCache>
            </c:strRef>
          </c:tx>
          <c:spPr>
            <a:solidFill>
              <a:schemeClr val="accent3"/>
            </a:solidFill>
            <a:ln>
              <a:noFill/>
            </a:ln>
            <a:effectLst/>
          </c:spPr>
          <c:invertIfNegative val="0"/>
          <c:cat>
            <c:strRef>
              <c:f>Sheet2!$B$54:$B$59</c:f>
              <c:strCache>
                <c:ptCount val="5"/>
                <c:pt idx="0">
                  <c:v>Alice</c:v>
                </c:pt>
                <c:pt idx="1">
                  <c:v>Bob</c:v>
                </c:pt>
                <c:pt idx="2">
                  <c:v>Charlie</c:v>
                </c:pt>
                <c:pt idx="3">
                  <c:v>David</c:v>
                </c:pt>
                <c:pt idx="4">
                  <c:v>Eve</c:v>
                </c:pt>
              </c:strCache>
            </c:strRef>
          </c:cat>
          <c:val>
            <c:numRef>
              <c:f>Sheet2!$E$54:$E$59</c:f>
              <c:numCache>
                <c:formatCode>General</c:formatCode>
                <c:ptCount val="5"/>
                <c:pt idx="0">
                  <c:v>226832.15999999997</c:v>
                </c:pt>
                <c:pt idx="1">
                  <c:v>312988.52</c:v>
                </c:pt>
                <c:pt idx="2">
                  <c:v>182441.71000000002</c:v>
                </c:pt>
                <c:pt idx="3">
                  <c:v>281658.52999999991</c:v>
                </c:pt>
                <c:pt idx="4">
                  <c:v>197852.62</c:v>
                </c:pt>
              </c:numCache>
            </c:numRef>
          </c:val>
          <c:extLst>
            <c:ext xmlns:c16="http://schemas.microsoft.com/office/drawing/2014/chart" uri="{C3380CC4-5D6E-409C-BE32-E72D297353CC}">
              <c16:uniqueId val="{00000005-E406-4A23-999C-73B8068E1CF7}"/>
            </c:ext>
          </c:extLst>
        </c:ser>
        <c:ser>
          <c:idx val="3"/>
          <c:order val="3"/>
          <c:tx>
            <c:strRef>
              <c:f>Sheet2!$F$52:$F$53</c:f>
              <c:strCache>
                <c:ptCount val="1"/>
                <c:pt idx="0">
                  <c:v>Furniture</c:v>
                </c:pt>
              </c:strCache>
            </c:strRef>
          </c:tx>
          <c:spPr>
            <a:solidFill>
              <a:schemeClr val="accent4"/>
            </a:solidFill>
            <a:ln>
              <a:noFill/>
            </a:ln>
            <a:effectLst/>
          </c:spPr>
          <c:invertIfNegative val="0"/>
          <c:cat>
            <c:strRef>
              <c:f>Sheet2!$B$54:$B$59</c:f>
              <c:strCache>
                <c:ptCount val="5"/>
                <c:pt idx="0">
                  <c:v>Alice</c:v>
                </c:pt>
                <c:pt idx="1">
                  <c:v>Bob</c:v>
                </c:pt>
                <c:pt idx="2">
                  <c:v>Charlie</c:v>
                </c:pt>
                <c:pt idx="3">
                  <c:v>David</c:v>
                </c:pt>
                <c:pt idx="4">
                  <c:v>Eve</c:v>
                </c:pt>
              </c:strCache>
            </c:strRef>
          </c:cat>
          <c:val>
            <c:numRef>
              <c:f>Sheet2!$F$54:$F$59</c:f>
              <c:numCache>
                <c:formatCode>General</c:formatCode>
                <c:ptCount val="5"/>
                <c:pt idx="0">
                  <c:v>241123.41</c:v>
                </c:pt>
                <c:pt idx="1">
                  <c:v>264421.14999999997</c:v>
                </c:pt>
                <c:pt idx="2">
                  <c:v>220677.01000000004</c:v>
                </c:pt>
                <c:pt idx="3">
                  <c:v>301450.63000000006</c:v>
                </c:pt>
                <c:pt idx="4">
                  <c:v>232845.49000000008</c:v>
                </c:pt>
              </c:numCache>
            </c:numRef>
          </c:val>
          <c:extLst>
            <c:ext xmlns:c16="http://schemas.microsoft.com/office/drawing/2014/chart" uri="{C3380CC4-5D6E-409C-BE32-E72D297353CC}">
              <c16:uniqueId val="{00000006-E406-4A23-999C-73B8068E1CF7}"/>
            </c:ext>
          </c:extLst>
        </c:ser>
        <c:dLbls>
          <c:showLegendKey val="0"/>
          <c:showVal val="0"/>
          <c:showCatName val="0"/>
          <c:showSerName val="0"/>
          <c:showPercent val="0"/>
          <c:showBubbleSize val="0"/>
        </c:dLbls>
        <c:gapWidth val="150"/>
        <c:overlap val="100"/>
        <c:axId val="1297891087"/>
        <c:axId val="1297905967"/>
      </c:barChart>
      <c:catAx>
        <c:axId val="1297891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905967"/>
        <c:crosses val="autoZero"/>
        <c:auto val="1"/>
        <c:lblAlgn val="ctr"/>
        <c:lblOffset val="100"/>
        <c:noMultiLvlLbl val="0"/>
      </c:catAx>
      <c:valAx>
        <c:axId val="1297905967"/>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891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6</xdr:col>
      <xdr:colOff>464820</xdr:colOff>
      <xdr:row>0</xdr:row>
      <xdr:rowOff>41910</xdr:rowOff>
    </xdr:from>
    <xdr:to>
      <xdr:col>14</xdr:col>
      <xdr:colOff>160020</xdr:colOff>
      <xdr:row>15</xdr:row>
      <xdr:rowOff>41910</xdr:rowOff>
    </xdr:to>
    <xdr:graphicFrame macro="">
      <xdr:nvGraphicFramePr>
        <xdr:cNvPr id="2" name="Chart 1">
          <a:extLst>
            <a:ext uri="{FF2B5EF4-FFF2-40B4-BE49-F238E27FC236}">
              <a16:creationId xmlns:a16="http://schemas.microsoft.com/office/drawing/2014/main" id="{E4EAE534-2C9A-A362-6D4E-BB21DD34A5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198120</xdr:colOff>
      <xdr:row>15</xdr:row>
      <xdr:rowOff>133350</xdr:rowOff>
    </xdr:from>
    <xdr:to>
      <xdr:col>14</xdr:col>
      <xdr:colOff>502920</xdr:colOff>
      <xdr:row>30</xdr:row>
      <xdr:rowOff>133350</xdr:rowOff>
    </xdr:to>
    <xdr:graphicFrame macro="">
      <xdr:nvGraphicFramePr>
        <xdr:cNvPr id="3" name="Chart 2">
          <a:extLst>
            <a:ext uri="{FF2B5EF4-FFF2-40B4-BE49-F238E27FC236}">
              <a16:creationId xmlns:a16="http://schemas.microsoft.com/office/drawing/2014/main" id="{D302A2E3-2127-F501-1B72-6912E8FAC2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198120</xdr:colOff>
      <xdr:row>31</xdr:row>
      <xdr:rowOff>156210</xdr:rowOff>
    </xdr:from>
    <xdr:to>
      <xdr:col>13</xdr:col>
      <xdr:colOff>502920</xdr:colOff>
      <xdr:row>46</xdr:row>
      <xdr:rowOff>156210</xdr:rowOff>
    </xdr:to>
    <xdr:graphicFrame macro="">
      <xdr:nvGraphicFramePr>
        <xdr:cNvPr id="4" name="Chart 3">
          <a:extLst>
            <a:ext uri="{FF2B5EF4-FFF2-40B4-BE49-F238E27FC236}">
              <a16:creationId xmlns:a16="http://schemas.microsoft.com/office/drawing/2014/main" id="{100FD74D-96B2-A45D-524D-77809A1B52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685800</xdr:colOff>
      <xdr:row>52</xdr:row>
      <xdr:rowOff>163830</xdr:rowOff>
    </xdr:from>
    <xdr:to>
      <xdr:col>13</xdr:col>
      <xdr:colOff>160020</xdr:colOff>
      <xdr:row>67</xdr:row>
      <xdr:rowOff>163830</xdr:rowOff>
    </xdr:to>
    <xdr:graphicFrame macro="">
      <xdr:nvGraphicFramePr>
        <xdr:cNvPr id="5" name="Chart 4">
          <a:extLst>
            <a:ext uri="{FF2B5EF4-FFF2-40B4-BE49-F238E27FC236}">
              <a16:creationId xmlns:a16="http://schemas.microsoft.com/office/drawing/2014/main" id="{D4A96094-3187-6915-0171-E8F2F3F90E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15240</xdr:colOff>
      <xdr:row>35</xdr:row>
      <xdr:rowOff>80010</xdr:rowOff>
    </xdr:from>
    <xdr:to>
      <xdr:col>9</xdr:col>
      <xdr:colOff>358140</xdr:colOff>
      <xdr:row>50</xdr:row>
      <xdr:rowOff>80010</xdr:rowOff>
    </xdr:to>
    <xdr:graphicFrame macro="">
      <xdr:nvGraphicFramePr>
        <xdr:cNvPr id="6" name="Chart 5">
          <a:extLst>
            <a:ext uri="{FF2B5EF4-FFF2-40B4-BE49-F238E27FC236}">
              <a16:creationId xmlns:a16="http://schemas.microsoft.com/office/drawing/2014/main" id="{4864AFE4-69E5-E3DF-EEAD-96950B5050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381000</xdr:colOff>
      <xdr:row>0</xdr:row>
      <xdr:rowOff>0</xdr:rowOff>
    </xdr:from>
    <xdr:to>
      <xdr:col>5</xdr:col>
      <xdr:colOff>701040</xdr:colOff>
      <xdr:row>13</xdr:row>
      <xdr:rowOff>89535</xdr:rowOff>
    </xdr:to>
    <mc:AlternateContent xmlns:mc="http://schemas.openxmlformats.org/markup-compatibility/2006" xmlns:a14="http://schemas.microsoft.com/office/drawing/2010/main">
      <mc:Choice Requires="a14">
        <xdr:graphicFrame macro="">
          <xdr:nvGraphicFramePr>
            <xdr:cNvPr id="7" name="Product_Category">
              <a:extLst>
                <a:ext uri="{FF2B5EF4-FFF2-40B4-BE49-F238E27FC236}">
                  <a16:creationId xmlns:a16="http://schemas.microsoft.com/office/drawing/2014/main" id="{9F7021A6-38E3-60E4-B38C-02B956FD677D}"/>
                </a:ext>
              </a:extLst>
            </xdr:cNvPr>
            <xdr:cNvGraphicFramePr/>
          </xdr:nvGraphicFramePr>
          <xdr:xfrm>
            <a:off x="0" y="0"/>
            <a:ext cx="0" cy="0"/>
          </xdr:xfrm>
          <a:graphic>
            <a:graphicData uri="http://schemas.microsoft.com/office/drawing/2010/slicer">
              <sle:slicer xmlns:sle="http://schemas.microsoft.com/office/drawing/2010/slicer" name="Product_Category"/>
            </a:graphicData>
          </a:graphic>
        </xdr:graphicFrame>
      </mc:Choice>
      <mc:Fallback xmlns="">
        <xdr:sp macro="" textlink="">
          <xdr:nvSpPr>
            <xdr:cNvPr id="0" name=""/>
            <xdr:cNvSpPr>
              <a:spLocks noTextEdit="1"/>
            </xdr:cNvSpPr>
          </xdr:nvSpPr>
          <xdr:spPr>
            <a:xfrm>
              <a:off x="3665220" y="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411480</xdr:colOff>
      <xdr:row>10</xdr:row>
      <xdr:rowOff>38100</xdr:rowOff>
    </xdr:from>
    <xdr:to>
      <xdr:col>8</xdr:col>
      <xdr:colOff>34290</xdr:colOff>
      <xdr:row>23</xdr:row>
      <xdr:rowOff>127635</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0FD18A07-EC68-CDFB-4A9C-D37251F6DBC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204460" y="18669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701040</xdr:colOff>
      <xdr:row>35</xdr:row>
      <xdr:rowOff>38100</xdr:rowOff>
    </xdr:from>
    <xdr:to>
      <xdr:col>7</xdr:col>
      <xdr:colOff>247650</xdr:colOff>
      <xdr:row>48</xdr:row>
      <xdr:rowOff>127635</xdr:rowOff>
    </xdr:to>
    <mc:AlternateContent xmlns:mc="http://schemas.openxmlformats.org/markup-compatibility/2006" xmlns:a14="http://schemas.microsoft.com/office/drawing/2010/main">
      <mc:Choice Requires="a14">
        <xdr:graphicFrame macro="">
          <xdr:nvGraphicFramePr>
            <xdr:cNvPr id="9" name="Payment_Method">
              <a:extLst>
                <a:ext uri="{FF2B5EF4-FFF2-40B4-BE49-F238E27FC236}">
                  <a16:creationId xmlns:a16="http://schemas.microsoft.com/office/drawing/2014/main" id="{6A63A180-25CE-EA30-104F-EA6BC6597088}"/>
                </a:ext>
              </a:extLst>
            </xdr:cNvPr>
            <xdr:cNvGraphicFramePr/>
          </xdr:nvGraphicFramePr>
          <xdr:xfrm>
            <a:off x="0" y="0"/>
            <a:ext cx="0" cy="0"/>
          </xdr:xfrm>
          <a:graphic>
            <a:graphicData uri="http://schemas.microsoft.com/office/drawing/2010/slicer">
              <sle:slicer xmlns:sle="http://schemas.microsoft.com/office/drawing/2010/slicer" name="Payment_Method"/>
            </a:graphicData>
          </a:graphic>
        </xdr:graphicFrame>
      </mc:Choice>
      <mc:Fallback xmlns="">
        <xdr:sp macro="" textlink="">
          <xdr:nvSpPr>
            <xdr:cNvPr id="0" name=""/>
            <xdr:cNvSpPr>
              <a:spLocks noTextEdit="1"/>
            </xdr:cNvSpPr>
          </xdr:nvSpPr>
          <xdr:spPr>
            <a:xfrm>
              <a:off x="4739640" y="64389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586740</xdr:colOff>
      <xdr:row>33</xdr:row>
      <xdr:rowOff>121920</xdr:rowOff>
    </xdr:from>
    <xdr:to>
      <xdr:col>8</xdr:col>
      <xdr:colOff>209550</xdr:colOff>
      <xdr:row>41</xdr:row>
      <xdr:rowOff>30480</xdr:rowOff>
    </xdr:to>
    <mc:AlternateContent xmlns:mc="http://schemas.openxmlformats.org/markup-compatibility/2006" xmlns:tsle="http://schemas.microsoft.com/office/drawing/2012/timeslicer">
      <mc:Choice Requires="tsle">
        <xdr:graphicFrame macro="">
          <xdr:nvGraphicFramePr>
            <xdr:cNvPr id="10" name="Sale_Date">
              <a:extLst>
                <a:ext uri="{FF2B5EF4-FFF2-40B4-BE49-F238E27FC236}">
                  <a16:creationId xmlns:a16="http://schemas.microsoft.com/office/drawing/2014/main" id="{2BBE509C-3642-01A9-6146-AA8C6B24F19A}"/>
                </a:ext>
              </a:extLst>
            </xdr:cNvPr>
            <xdr:cNvGraphicFramePr/>
          </xdr:nvGraphicFramePr>
          <xdr:xfrm>
            <a:off x="0" y="0"/>
            <a:ext cx="0" cy="0"/>
          </xdr:xfrm>
          <a:graphic>
            <a:graphicData uri="http://schemas.microsoft.com/office/drawing/2012/timeslicer">
              <tsle:timeslicer name="Sale_Date"/>
            </a:graphicData>
          </a:graphic>
        </xdr:graphicFrame>
      </mc:Choice>
      <mc:Fallback xmlns="">
        <xdr:sp macro="" textlink="">
          <xdr:nvSpPr>
            <xdr:cNvPr id="0" name=""/>
            <xdr:cNvSpPr>
              <a:spLocks noTextEdit="1"/>
            </xdr:cNvSpPr>
          </xdr:nvSpPr>
          <xdr:spPr>
            <a:xfrm>
              <a:off x="3870960" y="615696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2</xdr:col>
      <xdr:colOff>914400</xdr:colOff>
      <xdr:row>54</xdr:row>
      <xdr:rowOff>80010</xdr:rowOff>
    </xdr:from>
    <xdr:to>
      <xdr:col>8</xdr:col>
      <xdr:colOff>723900</xdr:colOff>
      <xdr:row>69</xdr:row>
      <xdr:rowOff>80010</xdr:rowOff>
    </xdr:to>
    <xdr:graphicFrame macro="">
      <xdr:nvGraphicFramePr>
        <xdr:cNvPr id="11" name="Chart 10">
          <a:extLst>
            <a:ext uri="{FF2B5EF4-FFF2-40B4-BE49-F238E27FC236}">
              <a16:creationId xmlns:a16="http://schemas.microsoft.com/office/drawing/2014/main" id="{2C35177E-11A9-D7BF-E416-E35D2652CA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142875</xdr:colOff>
      <xdr:row>0</xdr:row>
      <xdr:rowOff>152400</xdr:rowOff>
    </xdr:from>
    <xdr:to>
      <xdr:col>4</xdr:col>
      <xdr:colOff>495300</xdr:colOff>
      <xdr:row>3</xdr:row>
      <xdr:rowOff>38100</xdr:rowOff>
    </xdr:to>
    <xdr:sp macro="[0]!Macro4" textlink="">
      <xdr:nvSpPr>
        <xdr:cNvPr id="2" name="Oval 1">
          <a:extLst>
            <a:ext uri="{FF2B5EF4-FFF2-40B4-BE49-F238E27FC236}">
              <a16:creationId xmlns:a16="http://schemas.microsoft.com/office/drawing/2014/main" id="{8999F3BF-AFC7-FCE7-3937-ACB925CF656F}"/>
            </a:ext>
          </a:extLst>
        </xdr:cNvPr>
        <xdr:cNvSpPr/>
      </xdr:nvSpPr>
      <xdr:spPr>
        <a:xfrm>
          <a:off x="1971675" y="152400"/>
          <a:ext cx="962025" cy="4572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get </a:t>
          </a:r>
        </a:p>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323850</xdr:colOff>
      <xdr:row>1</xdr:row>
      <xdr:rowOff>142875</xdr:rowOff>
    </xdr:from>
    <xdr:to>
      <xdr:col>5</xdr:col>
      <xdr:colOff>47625</xdr:colOff>
      <xdr:row>4</xdr:row>
      <xdr:rowOff>38100</xdr:rowOff>
    </xdr:to>
    <xdr:sp macro="[0]!Macro4" textlink="">
      <xdr:nvSpPr>
        <xdr:cNvPr id="2" name="Rectangle 1">
          <a:extLst>
            <a:ext uri="{FF2B5EF4-FFF2-40B4-BE49-F238E27FC236}">
              <a16:creationId xmlns:a16="http://schemas.microsoft.com/office/drawing/2014/main" id="{81F21F00-0448-42F6-D941-12183DBB19F4}"/>
            </a:ext>
          </a:extLst>
        </xdr:cNvPr>
        <xdr:cNvSpPr/>
      </xdr:nvSpPr>
      <xdr:spPr>
        <a:xfrm>
          <a:off x="2152650" y="333375"/>
          <a:ext cx="942975" cy="4667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323850</xdr:colOff>
      <xdr:row>1</xdr:row>
      <xdr:rowOff>142875</xdr:rowOff>
    </xdr:from>
    <xdr:to>
      <xdr:col>12</xdr:col>
      <xdr:colOff>47625</xdr:colOff>
      <xdr:row>4</xdr:row>
      <xdr:rowOff>38100</xdr:rowOff>
    </xdr:to>
    <xdr:sp macro="[0]!Macro4" textlink="">
      <xdr:nvSpPr>
        <xdr:cNvPr id="3" name="Rectangle 2">
          <a:extLst>
            <a:ext uri="{FF2B5EF4-FFF2-40B4-BE49-F238E27FC236}">
              <a16:creationId xmlns:a16="http://schemas.microsoft.com/office/drawing/2014/main" id="{D71BF964-7B0D-469D-8103-834C4E34A4CC}"/>
            </a:ext>
          </a:extLst>
        </xdr:cNvPr>
        <xdr:cNvSpPr/>
      </xdr:nvSpPr>
      <xdr:spPr>
        <a:xfrm>
          <a:off x="2152650" y="333375"/>
          <a:ext cx="942975" cy="4667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266700</xdr:colOff>
      <xdr:row>1</xdr:row>
      <xdr:rowOff>66675</xdr:rowOff>
    </xdr:from>
    <xdr:to>
      <xdr:col>15</xdr:col>
      <xdr:colOff>190500</xdr:colOff>
      <xdr:row>3</xdr:row>
      <xdr:rowOff>19050</xdr:rowOff>
    </xdr:to>
    <xdr:sp macro="" textlink="">
      <xdr:nvSpPr>
        <xdr:cNvPr id="4" name="Rectangle: Rounded Corners 3">
          <a:extLst>
            <a:ext uri="{FF2B5EF4-FFF2-40B4-BE49-F238E27FC236}">
              <a16:creationId xmlns:a16="http://schemas.microsoft.com/office/drawing/2014/main" id="{943A5E5E-8856-0F09-F3C1-D213BD4A49FD}"/>
            </a:ext>
          </a:extLst>
        </xdr:cNvPr>
        <xdr:cNvSpPr/>
      </xdr:nvSpPr>
      <xdr:spPr>
        <a:xfrm>
          <a:off x="8543925" y="257175"/>
          <a:ext cx="1143000" cy="3333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85725</xdr:colOff>
      <xdr:row>1</xdr:row>
      <xdr:rowOff>66675</xdr:rowOff>
    </xdr:from>
    <xdr:to>
      <xdr:col>15</xdr:col>
      <xdr:colOff>9525</xdr:colOff>
      <xdr:row>3</xdr:row>
      <xdr:rowOff>19050</xdr:rowOff>
    </xdr:to>
    <xdr:sp macro="[0]!Absolute_ref" textlink="">
      <xdr:nvSpPr>
        <xdr:cNvPr id="2" name="Rectangle: Rounded Corners 1">
          <a:extLst>
            <a:ext uri="{FF2B5EF4-FFF2-40B4-BE49-F238E27FC236}">
              <a16:creationId xmlns:a16="http://schemas.microsoft.com/office/drawing/2014/main" id="{8C0BDD72-4B96-09CC-F1BE-43AA6F71AC5B}"/>
            </a:ext>
          </a:extLst>
        </xdr:cNvPr>
        <xdr:cNvSpPr/>
      </xdr:nvSpPr>
      <xdr:spPr>
        <a:xfrm>
          <a:off x="8543925" y="257175"/>
          <a:ext cx="1143000" cy="3333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indent="0" algn="l"/>
          <a:r>
            <a:rPr lang="en-IN" sz="1100">
              <a:solidFill>
                <a:schemeClr val="lt1">
                  <a:lumMod val="100000"/>
                </a:schemeClr>
              </a:solidFill>
              <a:latin typeface="+mn-lt"/>
              <a:ea typeface="+mn-ea"/>
              <a:cs typeface="+mn-cs"/>
            </a:rPr>
            <a:t>Get</a:t>
          </a:r>
          <a:r>
            <a:rPr lang="en-IN" sz="1100" baseline="0">
              <a:solidFill>
                <a:schemeClr val="lt1">
                  <a:lumMod val="100000"/>
                </a:schemeClr>
              </a:solidFill>
              <a:latin typeface="+mn-lt"/>
              <a:ea typeface="+mn-ea"/>
              <a:cs typeface="+mn-cs"/>
            </a:rPr>
            <a:t> data</a:t>
          </a:r>
        </a:p>
      </xdr:txBody>
    </xdr:sp>
    <xdr:clientData/>
  </xdr:twoCellAnchor>
  <xdr:twoCellAnchor>
    <xdr:from>
      <xdr:col>13</xdr:col>
      <xdr:colOff>85725</xdr:colOff>
      <xdr:row>1</xdr:row>
      <xdr:rowOff>66675</xdr:rowOff>
    </xdr:from>
    <xdr:to>
      <xdr:col>15</xdr:col>
      <xdr:colOff>9525</xdr:colOff>
      <xdr:row>3</xdr:row>
      <xdr:rowOff>19050</xdr:rowOff>
    </xdr:to>
    <xdr:sp macro="[0]!Macro6" textlink="">
      <xdr:nvSpPr>
        <xdr:cNvPr id="3" name="Rectangle: Rounded Corners 2">
          <a:extLst>
            <a:ext uri="{FF2B5EF4-FFF2-40B4-BE49-F238E27FC236}">
              <a16:creationId xmlns:a16="http://schemas.microsoft.com/office/drawing/2014/main" id="{E1833A17-9BE8-F71D-3145-1F3DE3BCEE08}"/>
            </a:ext>
          </a:extLst>
        </xdr:cNvPr>
        <xdr:cNvSpPr/>
      </xdr:nvSpPr>
      <xdr:spPr>
        <a:xfrm>
          <a:off x="8543925" y="257175"/>
          <a:ext cx="1143000" cy="3333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24</xdr:col>
      <xdr:colOff>104775</xdr:colOff>
      <xdr:row>1</xdr:row>
      <xdr:rowOff>723900</xdr:rowOff>
    </xdr:from>
    <xdr:to>
      <xdr:col>25</xdr:col>
      <xdr:colOff>514350</xdr:colOff>
      <xdr:row>1</xdr:row>
      <xdr:rowOff>1114425</xdr:rowOff>
    </xdr:to>
    <xdr:sp macro="" textlink="">
      <xdr:nvSpPr>
        <xdr:cNvPr id="2" name="Rectangle: Rounded Corners 1">
          <a:extLst>
            <a:ext uri="{FF2B5EF4-FFF2-40B4-BE49-F238E27FC236}">
              <a16:creationId xmlns:a16="http://schemas.microsoft.com/office/drawing/2014/main" id="{7BB27240-6934-00FD-6C4F-BE5D2FE696F0}"/>
            </a:ext>
          </a:extLst>
        </xdr:cNvPr>
        <xdr:cNvSpPr/>
      </xdr:nvSpPr>
      <xdr:spPr>
        <a:xfrm>
          <a:off x="19202400" y="914400"/>
          <a:ext cx="1019175" cy="3905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876300</xdr:colOff>
      <xdr:row>65</xdr:row>
      <xdr:rowOff>47625</xdr:rowOff>
    </xdr:from>
    <xdr:to>
      <xdr:col>11</xdr:col>
      <xdr:colOff>922019</xdr:colOff>
      <xdr:row>65</xdr:row>
      <xdr:rowOff>93344</xdr:rowOff>
    </xdr:to>
    <xdr:sp macro="" textlink="">
      <xdr:nvSpPr>
        <xdr:cNvPr id="5" name="TextBox 4">
          <a:extLst>
            <a:ext uri="{FF2B5EF4-FFF2-40B4-BE49-F238E27FC236}">
              <a16:creationId xmlns:a16="http://schemas.microsoft.com/office/drawing/2014/main" id="{5D0B8817-F129-E8E0-47D0-D1A50D475A5A}"/>
            </a:ext>
          </a:extLst>
        </xdr:cNvPr>
        <xdr:cNvSpPr txBox="1"/>
      </xdr:nvSpPr>
      <xdr:spPr>
        <a:xfrm>
          <a:off x="9696450" y="13382625"/>
          <a:ext cx="4571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350520</xdr:colOff>
      <xdr:row>0</xdr:row>
      <xdr:rowOff>152400</xdr:rowOff>
    </xdr:from>
    <xdr:to>
      <xdr:col>27</xdr:col>
      <xdr:colOff>274320</xdr:colOff>
      <xdr:row>40</xdr:row>
      <xdr:rowOff>76200</xdr:rowOff>
    </xdr:to>
    <xdr:sp macro="" textlink="">
      <xdr:nvSpPr>
        <xdr:cNvPr id="2" name="Rectangle: Rounded Corners 1">
          <a:extLst>
            <a:ext uri="{FF2B5EF4-FFF2-40B4-BE49-F238E27FC236}">
              <a16:creationId xmlns:a16="http://schemas.microsoft.com/office/drawing/2014/main" id="{56B71E23-D9AD-4B25-BF08-A9BD9A6AAF22}"/>
            </a:ext>
          </a:extLst>
        </xdr:cNvPr>
        <xdr:cNvSpPr/>
      </xdr:nvSpPr>
      <xdr:spPr>
        <a:xfrm>
          <a:off x="960120" y="152400"/>
          <a:ext cx="15773400" cy="723900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257175</xdr:colOff>
      <xdr:row>5</xdr:row>
      <xdr:rowOff>148590</xdr:rowOff>
    </xdr:from>
    <xdr:to>
      <xdr:col>12</xdr:col>
      <xdr:colOff>508635</xdr:colOff>
      <xdr:row>20</xdr:row>
      <xdr:rowOff>80010</xdr:rowOff>
    </xdr:to>
    <xdr:graphicFrame macro="">
      <xdr:nvGraphicFramePr>
        <xdr:cNvPr id="3" name="Chart 2">
          <a:extLst>
            <a:ext uri="{FF2B5EF4-FFF2-40B4-BE49-F238E27FC236}">
              <a16:creationId xmlns:a16="http://schemas.microsoft.com/office/drawing/2014/main" id="{2B60C15C-18E0-45C4-B440-DAE1CCC7D6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205740</xdr:colOff>
      <xdr:row>22</xdr:row>
      <xdr:rowOff>60960</xdr:rowOff>
    </xdr:from>
    <xdr:to>
      <xdr:col>12</xdr:col>
      <xdr:colOff>518160</xdr:colOff>
      <xdr:row>37</xdr:row>
      <xdr:rowOff>53340</xdr:rowOff>
    </xdr:to>
    <xdr:graphicFrame macro="">
      <xdr:nvGraphicFramePr>
        <xdr:cNvPr id="5" name="Chart 4">
          <a:extLst>
            <a:ext uri="{FF2B5EF4-FFF2-40B4-BE49-F238E27FC236}">
              <a16:creationId xmlns:a16="http://schemas.microsoft.com/office/drawing/2014/main" id="{B86315D8-7954-4D12-866B-348DD4451F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129540</xdr:colOff>
      <xdr:row>5</xdr:row>
      <xdr:rowOff>167640</xdr:rowOff>
    </xdr:from>
    <xdr:to>
      <xdr:col>20</xdr:col>
      <xdr:colOff>198120</xdr:colOff>
      <xdr:row>20</xdr:row>
      <xdr:rowOff>91440</xdr:rowOff>
    </xdr:to>
    <xdr:graphicFrame macro="">
      <xdr:nvGraphicFramePr>
        <xdr:cNvPr id="6" name="Chart 5">
          <a:extLst>
            <a:ext uri="{FF2B5EF4-FFF2-40B4-BE49-F238E27FC236}">
              <a16:creationId xmlns:a16="http://schemas.microsoft.com/office/drawing/2014/main" id="{F0D0787E-6989-4AD8-8F7D-5E9E977390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106680</xdr:colOff>
      <xdr:row>22</xdr:row>
      <xdr:rowOff>114300</xdr:rowOff>
    </xdr:from>
    <xdr:to>
      <xdr:col>20</xdr:col>
      <xdr:colOff>106680</xdr:colOff>
      <xdr:row>37</xdr:row>
      <xdr:rowOff>7620</xdr:rowOff>
    </xdr:to>
    <xdr:graphicFrame macro="">
      <xdr:nvGraphicFramePr>
        <xdr:cNvPr id="7" name="Chart 6">
          <a:extLst>
            <a:ext uri="{FF2B5EF4-FFF2-40B4-BE49-F238E27FC236}">
              <a16:creationId xmlns:a16="http://schemas.microsoft.com/office/drawing/2014/main" id="{4F19C729-892F-4C29-9901-77ADB9F338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396240</xdr:colOff>
      <xdr:row>22</xdr:row>
      <xdr:rowOff>121920</xdr:rowOff>
    </xdr:from>
    <xdr:to>
      <xdr:col>26</xdr:col>
      <xdr:colOff>571500</xdr:colOff>
      <xdr:row>36</xdr:row>
      <xdr:rowOff>160020</xdr:rowOff>
    </xdr:to>
    <xdr:graphicFrame macro="">
      <xdr:nvGraphicFramePr>
        <xdr:cNvPr id="8" name="Chart 7">
          <a:extLst>
            <a:ext uri="{FF2B5EF4-FFF2-40B4-BE49-F238E27FC236}">
              <a16:creationId xmlns:a16="http://schemas.microsoft.com/office/drawing/2014/main" id="{1D66AC6B-9846-4916-92F8-D9D519297A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388620</xdr:colOff>
      <xdr:row>6</xdr:row>
      <xdr:rowOff>15240</xdr:rowOff>
    </xdr:from>
    <xdr:to>
      <xdr:col>27</xdr:col>
      <xdr:colOff>91440</xdr:colOff>
      <xdr:row>20</xdr:row>
      <xdr:rowOff>129540</xdr:rowOff>
    </xdr:to>
    <xdr:graphicFrame macro="">
      <xdr:nvGraphicFramePr>
        <xdr:cNvPr id="10" name="Chart 9">
          <a:extLst>
            <a:ext uri="{FF2B5EF4-FFF2-40B4-BE49-F238E27FC236}">
              <a16:creationId xmlns:a16="http://schemas.microsoft.com/office/drawing/2014/main" id="{9B9E2DB0-369B-43F6-96BC-B5DB565151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62865</xdr:colOff>
      <xdr:row>5</xdr:row>
      <xdr:rowOff>175261</xdr:rowOff>
    </xdr:from>
    <xdr:to>
      <xdr:col>5</xdr:col>
      <xdr:colOff>62865</xdr:colOff>
      <xdr:row>16</xdr:row>
      <xdr:rowOff>121921</xdr:rowOff>
    </xdr:to>
    <mc:AlternateContent xmlns:mc="http://schemas.openxmlformats.org/markup-compatibility/2006" xmlns:a14="http://schemas.microsoft.com/office/drawing/2010/main">
      <mc:Choice Requires="a14">
        <xdr:graphicFrame macro="">
          <xdr:nvGraphicFramePr>
            <xdr:cNvPr id="11" name="Product_Category 1">
              <a:extLst>
                <a:ext uri="{FF2B5EF4-FFF2-40B4-BE49-F238E27FC236}">
                  <a16:creationId xmlns:a16="http://schemas.microsoft.com/office/drawing/2014/main" id="{5DBC6319-034B-4FFE-A9F9-0239B0D72589}"/>
                </a:ext>
              </a:extLst>
            </xdr:cNvPr>
            <xdr:cNvGraphicFramePr/>
          </xdr:nvGraphicFramePr>
          <xdr:xfrm>
            <a:off x="0" y="0"/>
            <a:ext cx="0" cy="0"/>
          </xdr:xfrm>
          <a:graphic>
            <a:graphicData uri="http://schemas.microsoft.com/office/drawing/2010/slicer">
              <sle:slicer xmlns:sle="http://schemas.microsoft.com/office/drawing/2010/slicer" name="Product_Category 1"/>
            </a:graphicData>
          </a:graphic>
        </xdr:graphicFrame>
      </mc:Choice>
      <mc:Fallback xmlns="">
        <xdr:sp macro="" textlink="">
          <xdr:nvSpPr>
            <xdr:cNvPr id="0" name=""/>
            <xdr:cNvSpPr>
              <a:spLocks noTextEdit="1"/>
            </xdr:cNvSpPr>
          </xdr:nvSpPr>
          <xdr:spPr>
            <a:xfrm>
              <a:off x="1243965" y="1127761"/>
              <a:ext cx="1771650" cy="20421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76200</xdr:colOff>
      <xdr:row>28</xdr:row>
      <xdr:rowOff>129540</xdr:rowOff>
    </xdr:from>
    <xdr:to>
      <xdr:col>5</xdr:col>
      <xdr:colOff>76200</xdr:colOff>
      <xdr:row>36</xdr:row>
      <xdr:rowOff>135255</xdr:rowOff>
    </xdr:to>
    <mc:AlternateContent xmlns:mc="http://schemas.openxmlformats.org/markup-compatibility/2006" xmlns:a14="http://schemas.microsoft.com/office/drawing/2010/main">
      <mc:Choice Requires="a14">
        <xdr:graphicFrame macro="">
          <xdr:nvGraphicFramePr>
            <xdr:cNvPr id="12" name="Region 1">
              <a:extLst>
                <a:ext uri="{FF2B5EF4-FFF2-40B4-BE49-F238E27FC236}">
                  <a16:creationId xmlns:a16="http://schemas.microsoft.com/office/drawing/2014/main" id="{A0BBA76E-E816-4440-9896-75FF1C5E876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295400" y="5250180"/>
              <a:ext cx="1828800" cy="14687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68580</xdr:colOff>
      <xdr:row>18</xdr:row>
      <xdr:rowOff>70485</xdr:rowOff>
    </xdr:from>
    <xdr:to>
      <xdr:col>5</xdr:col>
      <xdr:colOff>60960</xdr:colOff>
      <xdr:row>26</xdr:row>
      <xdr:rowOff>139065</xdr:rowOff>
    </xdr:to>
    <mc:AlternateContent xmlns:mc="http://schemas.openxmlformats.org/markup-compatibility/2006" xmlns:tsle="http://schemas.microsoft.com/office/drawing/2012/timeslicer">
      <mc:Choice Requires="tsle">
        <xdr:graphicFrame macro="">
          <xdr:nvGraphicFramePr>
            <xdr:cNvPr id="13" name="Sale_Date 1">
              <a:extLst>
                <a:ext uri="{FF2B5EF4-FFF2-40B4-BE49-F238E27FC236}">
                  <a16:creationId xmlns:a16="http://schemas.microsoft.com/office/drawing/2014/main" id="{D16BDF7A-5879-4A03-A8F7-46346B3690B6}"/>
                </a:ext>
              </a:extLst>
            </xdr:cNvPr>
            <xdr:cNvGraphicFramePr/>
          </xdr:nvGraphicFramePr>
          <xdr:xfrm>
            <a:off x="0" y="0"/>
            <a:ext cx="0" cy="0"/>
          </xdr:xfrm>
          <a:graphic>
            <a:graphicData uri="http://schemas.microsoft.com/office/drawing/2012/timeslicer">
              <tsle:timeslicer name="Sale_Date 1"/>
            </a:graphicData>
          </a:graphic>
        </xdr:graphicFrame>
      </mc:Choice>
      <mc:Fallback xmlns="">
        <xdr:sp macro="" textlink="">
          <xdr:nvSpPr>
            <xdr:cNvPr id="0" name=""/>
            <xdr:cNvSpPr>
              <a:spLocks noTextEdit="1"/>
            </xdr:cNvSpPr>
          </xdr:nvSpPr>
          <xdr:spPr>
            <a:xfrm>
              <a:off x="1249680" y="3499485"/>
              <a:ext cx="1764030" cy="159258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7</xdr:col>
      <xdr:colOff>274320</xdr:colOff>
      <xdr:row>1</xdr:row>
      <xdr:rowOff>121920</xdr:rowOff>
    </xdr:from>
    <xdr:to>
      <xdr:col>16</xdr:col>
      <xdr:colOff>68580</xdr:colOff>
      <xdr:row>5</xdr:row>
      <xdr:rowOff>0</xdr:rowOff>
    </xdr:to>
    <xdr:sp macro="" textlink="">
      <xdr:nvSpPr>
        <xdr:cNvPr id="14" name="Rectangle: Rounded Corners 13">
          <a:extLst>
            <a:ext uri="{FF2B5EF4-FFF2-40B4-BE49-F238E27FC236}">
              <a16:creationId xmlns:a16="http://schemas.microsoft.com/office/drawing/2014/main" id="{010B60F8-9DF0-9A08-CFB1-BD91B6DC959E}"/>
            </a:ext>
          </a:extLst>
        </xdr:cNvPr>
        <xdr:cNvSpPr/>
      </xdr:nvSpPr>
      <xdr:spPr>
        <a:xfrm>
          <a:off x="4541520" y="304800"/>
          <a:ext cx="5280660" cy="609600"/>
        </a:xfrm>
        <a:prstGeom prst="roundRect">
          <a:avLst/>
        </a:prstGeom>
        <a:solidFill>
          <a:schemeClr val="accent3">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4000" b="1" cap="none" spc="0">
              <a:ln w="22225">
                <a:solidFill>
                  <a:schemeClr val="accent2"/>
                </a:solidFill>
                <a:prstDash val="solid"/>
              </a:ln>
              <a:solidFill>
                <a:schemeClr val="tx1"/>
              </a:solidFill>
              <a:effectLst/>
            </a:rPr>
            <a:t>Sales</a:t>
          </a:r>
          <a:r>
            <a:rPr lang="en-IN" sz="4000" b="1" cap="none" spc="0" baseline="0">
              <a:ln w="22225">
                <a:solidFill>
                  <a:schemeClr val="accent2"/>
                </a:solidFill>
                <a:prstDash val="solid"/>
              </a:ln>
              <a:solidFill>
                <a:srgbClr val="FFFF00"/>
              </a:solidFill>
              <a:effectLst/>
            </a:rPr>
            <a:t> </a:t>
          </a:r>
          <a:r>
            <a:rPr lang="en-IN" sz="4000" b="1" cap="none" spc="0" baseline="0">
              <a:ln w="22225">
                <a:solidFill>
                  <a:schemeClr val="accent2"/>
                </a:solidFill>
                <a:prstDash val="solid"/>
              </a:ln>
              <a:solidFill>
                <a:schemeClr val="tx1"/>
              </a:solidFill>
              <a:effectLst/>
            </a:rPr>
            <a:t>Dashboard</a:t>
          </a:r>
          <a:endParaRPr lang="en-IN" sz="4000" b="1" cap="none" spc="0">
            <a:ln w="22225">
              <a:solidFill>
                <a:schemeClr val="accent2"/>
              </a:solidFill>
              <a:prstDash val="solid"/>
            </a:ln>
            <a:solidFill>
              <a:schemeClr val="tx1"/>
            </a:solidFill>
            <a:effectLst/>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msee bana" refreshedDate="46181.306750925927" createdVersion="8" refreshedVersion="8" minRefreshableVersion="3" recordCount="1000" xr:uid="{1E31121B-E0C9-4EA6-ACE8-1C3E5069B810}">
  <cacheSource type="worksheet">
    <worksheetSource ref="A1:N1001" sheet="sales_data"/>
  </cacheSource>
  <cacheFields count="19">
    <cacheField name="Product_ID" numFmtId="0">
      <sharedItems containsSemiMixedTypes="0" containsString="0" containsNumber="1" containsInteger="1" minValue="1001" maxValue="1100"/>
    </cacheField>
    <cacheField name="Sale_Date" numFmtId="14">
      <sharedItems containsSemiMixedTypes="0" containsNonDate="0" containsDate="1" containsString="0" minDate="2023-01-01T00:00:00" maxDate="2024-01-02T00:00:00" count="340">
        <d v="2023-02-03T00:00:00"/>
        <d v="2023-04-21T00:00:00"/>
        <d v="2023-09-21T00:00:00"/>
        <d v="2023-08-24T00:00:00"/>
        <d v="2023-03-24T00:00:00"/>
        <d v="2023-02-11T00:00:00"/>
        <d v="2023-04-11T00:00:00"/>
        <d v="2023-01-06T00:00:00"/>
        <d v="2023-06-29T00:00:00"/>
        <d v="2023-10-09T00:00:00"/>
        <d v="2023-11-16T00:00:00"/>
        <d v="2023-08-14T00:00:00"/>
        <d v="2023-11-11T00:00:00"/>
        <d v="2023-12-31T00:00:00"/>
        <d v="2023-08-17T00:00:00"/>
        <d v="2023-10-16T00:00:00"/>
        <d v="2023-05-30T00:00:00"/>
        <d v="2023-10-04T00:00:00"/>
        <d v="2023-07-17T00:00:00"/>
        <d v="2023-03-11T00:00:00"/>
        <d v="2023-04-22T00:00:00"/>
        <d v="2023-01-04T00:00:00"/>
        <d v="2023-12-16T00:00:00"/>
        <d v="2023-11-27T00:00:00"/>
        <d v="2023-11-14T00:00:00"/>
        <d v="2023-04-05T00:00:00"/>
        <d v="2023-06-01T00:00:00"/>
        <d v="2023-11-07T00:00:00"/>
        <d v="2023-05-17T00:00:00"/>
        <d v="2023-09-04T00:00:00"/>
        <d v="2023-08-31T00:00:00"/>
        <d v="2023-01-31T00:00:00"/>
        <d v="2023-02-09T00:00:00"/>
        <d v="2023-02-05T00:00:00"/>
        <d v="2023-08-11T00:00:00"/>
        <d v="2023-11-18T00:00:00"/>
        <d v="2023-08-08T00:00:00"/>
        <d v="2023-03-16T00:00:00"/>
        <d v="2023-12-01T00:00:00"/>
        <d v="2023-05-14T00:00:00"/>
        <d v="2023-04-28T00:00:00"/>
        <d v="2023-04-04T00:00:00"/>
        <d v="2023-03-03T00:00:00"/>
        <d v="2023-07-13T00:00:00"/>
        <d v="2023-07-22T00:00:00"/>
        <d v="2023-01-26T00:00:00"/>
        <d v="2023-06-22T00:00:00"/>
        <d v="2023-10-27T00:00:00"/>
        <d v="2023-05-13T00:00:00"/>
        <d v="2023-11-22T00:00:00"/>
        <d v="2023-11-20T00:00:00"/>
        <d v="2023-10-02T00:00:00"/>
        <d v="2023-07-31T00:00:00"/>
        <d v="2023-08-13T00:00:00"/>
        <d v="2023-01-20T00:00:00"/>
        <d v="2023-04-23T00:00:00"/>
        <d v="2023-05-20T00:00:00"/>
        <d v="2023-02-16T00:00:00"/>
        <d v="2023-01-01T00:00:00"/>
        <d v="2023-03-31T00:00:00"/>
        <d v="2023-05-22T00:00:00"/>
        <d v="2023-02-07T00:00:00"/>
        <d v="2023-10-20T00:00:00"/>
        <d v="2023-05-19T00:00:00"/>
        <d v="2023-12-22T00:00:00"/>
        <d v="2023-11-29T00:00:00"/>
        <d v="2023-09-16T00:00:00"/>
        <d v="2023-06-10T00:00:00"/>
        <d v="2023-06-27T00:00:00"/>
        <d v="2023-01-10T00:00:00"/>
        <d v="2023-09-18T00:00:00"/>
        <d v="2023-05-18T00:00:00"/>
        <d v="2023-06-21T00:00:00"/>
        <d v="2023-01-13T00:00:00"/>
        <d v="2023-06-17T00:00:00"/>
        <d v="2023-05-10T00:00:00"/>
        <d v="2023-03-25T00:00:00"/>
        <d v="2023-11-17T00:00:00"/>
        <d v="2023-11-15T00:00:00"/>
        <d v="2023-11-25T00:00:00"/>
        <d v="2023-09-30T00:00:00"/>
        <d v="2023-09-22T00:00:00"/>
        <d v="2023-11-01T00:00:00"/>
        <d v="2023-03-10T00:00:00"/>
        <d v="2023-11-30T00:00:00"/>
        <d v="2023-03-17T00:00:00"/>
        <d v="2023-02-04T00:00:00"/>
        <d v="2023-10-23T00:00:00"/>
        <d v="2023-03-01T00:00:00"/>
        <d v="2023-12-15T00:00:00"/>
        <d v="2023-11-24T00:00:00"/>
        <d v="2023-09-24T00:00:00"/>
        <d v="2023-12-27T00:00:00"/>
        <d v="2023-09-27T00:00:00"/>
        <d v="2023-11-12T00:00:00"/>
        <d v="2023-10-13T00:00:00"/>
        <d v="2023-10-18T00:00:00"/>
        <d v="2023-08-01T00:00:00"/>
        <d v="2023-06-14T00:00:00"/>
        <d v="2023-01-05T00:00:00"/>
        <d v="2023-12-05T00:00:00"/>
        <d v="2023-03-19T00:00:00"/>
        <d v="2023-05-12T00:00:00"/>
        <d v="2023-03-30T00:00:00"/>
        <d v="2023-08-25T00:00:00"/>
        <d v="2023-10-22T00:00:00"/>
        <d v="2023-04-14T00:00:00"/>
        <d v="2023-01-14T00:00:00"/>
        <d v="2023-10-15T00:00:00"/>
        <d v="2023-06-28T00:00:00"/>
        <d v="2023-05-05T00:00:00"/>
        <d v="2023-12-19T00:00:00"/>
        <d v="2023-01-23T00:00:00"/>
        <d v="2023-03-04T00:00:00"/>
        <d v="2023-05-23T00:00:00"/>
        <d v="2023-06-02T00:00:00"/>
        <d v="2023-05-25T00:00:00"/>
        <d v="2023-11-05T00:00:00"/>
        <d v="2023-02-08T00:00:00"/>
        <d v="2023-03-08T00:00:00"/>
        <d v="2023-01-15T00:00:00"/>
        <d v="2023-06-06T00:00:00"/>
        <d v="2023-08-19T00:00:00"/>
        <d v="2023-04-07T00:00:00"/>
        <d v="2023-09-11T00:00:00"/>
        <d v="2023-07-15T00:00:00"/>
        <d v="2023-03-27T00:00:00"/>
        <d v="2023-05-03T00:00:00"/>
        <d v="2023-11-26T00:00:00"/>
        <d v="2023-10-21T00:00:00"/>
        <d v="2023-06-08T00:00:00"/>
        <d v="2023-10-30T00:00:00"/>
        <d v="2023-08-16T00:00:00"/>
        <d v="2023-08-04T00:00:00"/>
        <d v="2023-07-03T00:00:00"/>
        <d v="2023-05-16T00:00:00"/>
        <d v="2023-11-28T00:00:00"/>
        <d v="2023-04-25T00:00:00"/>
        <d v="2023-10-19T00:00:00"/>
        <d v="2023-10-26T00:00:00"/>
        <d v="2023-10-10T00:00:00"/>
        <d v="2023-05-28T00:00:00"/>
        <d v="2023-01-11T00:00:00"/>
        <d v="2023-12-26T00:00:00"/>
        <d v="2023-07-19T00:00:00"/>
        <d v="2023-12-12T00:00:00"/>
        <d v="2023-10-29T00:00:00"/>
        <d v="2023-12-29T00:00:00"/>
        <d v="2023-08-06T00:00:00"/>
        <d v="2023-05-21T00:00:00"/>
        <d v="2023-07-29T00:00:00"/>
        <d v="2023-06-20T00:00:00"/>
        <d v="2023-05-07T00:00:00"/>
        <d v="2023-04-16T00:00:00"/>
        <d v="2023-04-02T00:00:00"/>
        <d v="2023-10-14T00:00:00"/>
        <d v="2023-02-20T00:00:00"/>
        <d v="2023-01-29T00:00:00"/>
        <d v="2023-10-24T00:00:00"/>
        <d v="2023-08-02T00:00:00"/>
        <d v="2023-09-14T00:00:00"/>
        <d v="2023-04-20T00:00:00"/>
        <d v="2023-07-01T00:00:00"/>
        <d v="2023-11-09T00:00:00"/>
        <d v="2023-02-24T00:00:00"/>
        <d v="2023-05-29T00:00:00"/>
        <d v="2023-07-21T00:00:00"/>
        <d v="2023-04-27T00:00:00"/>
        <d v="2023-06-03T00:00:00"/>
        <d v="2023-09-01T00:00:00"/>
        <d v="2023-01-25T00:00:00"/>
        <d v="2023-12-13T00:00:00"/>
        <d v="2023-01-17T00:00:00"/>
        <d v="2023-05-08T00:00:00"/>
        <d v="2023-12-30T00:00:00"/>
        <d v="2023-09-08T00:00:00"/>
        <d v="2023-12-10T00:00:00"/>
        <d v="2023-06-26T00:00:00"/>
        <d v="2023-10-12T00:00:00"/>
        <d v="2023-06-05T00:00:00"/>
        <d v="2023-02-18T00:00:00"/>
        <d v="2023-12-03T00:00:00"/>
        <d v="2023-12-08T00:00:00"/>
        <d v="2023-07-08T00:00:00"/>
        <d v="2023-11-23T00:00:00"/>
        <d v="2023-08-12T00:00:00"/>
        <d v="2023-08-03T00:00:00"/>
        <d v="2023-07-30T00:00:00"/>
        <d v="2023-02-01T00:00:00"/>
        <d v="2023-06-07T00:00:00"/>
        <d v="2023-05-24T00:00:00"/>
        <d v="2023-01-19T00:00:00"/>
        <d v="2023-01-18T00:00:00"/>
        <d v="2023-06-24T00:00:00"/>
        <d v="2023-04-24T00:00:00"/>
        <d v="2023-08-10T00:00:00"/>
        <d v="2023-06-15T00:00:00"/>
        <d v="2023-12-25T00:00:00"/>
        <d v="2023-05-11T00:00:00"/>
        <d v="2023-09-23T00:00:00"/>
        <d v="2024-01-01T00:00:00"/>
        <d v="2023-06-11T00:00:00"/>
        <d v="2023-03-28T00:00:00"/>
        <d v="2023-01-08T00:00:00"/>
        <d v="2023-11-19T00:00:00"/>
        <d v="2023-09-12T00:00:00"/>
        <d v="2023-02-23T00:00:00"/>
        <d v="2023-09-06T00:00:00"/>
        <d v="2023-08-27T00:00:00"/>
        <d v="2023-04-06T00:00:00"/>
        <d v="2023-03-29T00:00:00"/>
        <d v="2023-04-30T00:00:00"/>
        <d v="2023-01-07T00:00:00"/>
        <d v="2023-09-20T00:00:00"/>
        <d v="2023-05-31T00:00:00"/>
        <d v="2023-03-26T00:00:00"/>
        <d v="2023-05-27T00:00:00"/>
        <d v="2023-07-07T00:00:00"/>
        <d v="2023-03-23T00:00:00"/>
        <d v="2023-01-02T00:00:00"/>
        <d v="2023-07-16T00:00:00"/>
        <d v="2023-08-22T00:00:00"/>
        <d v="2023-07-14T00:00:00"/>
        <d v="2023-04-29T00:00:00"/>
        <d v="2023-09-13T00:00:00"/>
        <d v="2023-02-22T00:00:00"/>
        <d v="2023-12-21T00:00:00"/>
        <d v="2023-10-07T00:00:00"/>
        <d v="2023-03-22T00:00:00"/>
        <d v="2023-02-28T00:00:00"/>
        <d v="2023-07-28T00:00:00"/>
        <d v="2023-01-09T00:00:00"/>
        <d v="2023-10-08T00:00:00"/>
        <d v="2023-07-20T00:00:00"/>
        <d v="2023-09-03T00:00:00"/>
        <d v="2023-10-05T00:00:00"/>
        <d v="2023-08-23T00:00:00"/>
        <d v="2023-04-19T00:00:00"/>
        <d v="2023-04-08T00:00:00"/>
        <d v="2023-05-26T00:00:00"/>
        <d v="2023-12-07T00:00:00"/>
        <d v="2023-02-10T00:00:00"/>
        <d v="2023-12-28T00:00:00"/>
        <d v="2023-01-27T00:00:00"/>
        <d v="2023-08-07T00:00:00"/>
        <d v="2023-09-25T00:00:00"/>
        <d v="2023-07-09T00:00:00"/>
        <d v="2023-05-02T00:00:00"/>
        <d v="2023-02-15T00:00:00"/>
        <d v="2023-03-05T00:00:00"/>
        <d v="2023-11-06T00:00:00"/>
        <d v="2023-07-12T00:00:00"/>
        <d v="2023-11-03T00:00:00"/>
        <d v="2023-06-30T00:00:00"/>
        <d v="2023-06-13T00:00:00"/>
        <d v="2023-07-06T00:00:00"/>
        <d v="2023-08-20T00:00:00"/>
        <d v="2023-08-15T00:00:00"/>
        <d v="2023-11-08T00:00:00"/>
        <d v="2023-09-07T00:00:00"/>
        <d v="2023-03-14T00:00:00"/>
        <d v="2023-05-09T00:00:00"/>
        <d v="2023-08-05T00:00:00"/>
        <d v="2023-03-02T00:00:00"/>
        <d v="2023-04-18T00:00:00"/>
        <d v="2023-04-12T00:00:00"/>
        <d v="2023-12-20T00:00:00"/>
        <d v="2023-01-12T00:00:00"/>
        <d v="2023-02-13T00:00:00"/>
        <d v="2023-02-26T00:00:00"/>
        <d v="2023-03-21T00:00:00"/>
        <d v="2023-01-16T00:00:00"/>
        <d v="2023-07-18T00:00:00"/>
        <d v="2023-06-25T00:00:00"/>
        <d v="2023-04-13T00:00:00"/>
        <d v="2023-10-28T00:00:00"/>
        <d v="2023-07-02T00:00:00"/>
        <d v="2023-06-19T00:00:00"/>
        <d v="2023-09-26T00:00:00"/>
        <d v="2023-10-01T00:00:00"/>
        <d v="2023-09-02T00:00:00"/>
        <d v="2023-07-04T00:00:00"/>
        <d v="2023-09-29T00:00:00"/>
        <d v="2023-12-06T00:00:00"/>
        <d v="2023-03-06T00:00:00"/>
        <d v="2023-01-03T00:00:00"/>
        <d v="2023-02-21T00:00:00"/>
        <d v="2023-09-17T00:00:00"/>
        <d v="2023-03-13T00:00:00"/>
        <d v="2023-04-17T00:00:00"/>
        <d v="2023-08-29T00:00:00"/>
        <d v="2023-09-19T00:00:00"/>
        <d v="2023-04-09T00:00:00"/>
        <d v="2023-12-04T00:00:00"/>
        <d v="2023-06-09T00:00:00"/>
        <d v="2023-03-09T00:00:00"/>
        <d v="2023-12-23T00:00:00"/>
        <d v="2023-04-15T00:00:00"/>
        <d v="2023-05-04T00:00:00"/>
        <d v="2023-02-06T00:00:00"/>
        <d v="2023-10-11T00:00:00"/>
        <d v="2023-07-05T00:00:00"/>
        <d v="2023-02-25T00:00:00"/>
        <d v="2023-12-02T00:00:00"/>
        <d v="2023-10-31T00:00:00"/>
        <d v="2023-06-18T00:00:00"/>
        <d v="2023-02-14T00:00:00"/>
        <d v="2023-12-11T00:00:00"/>
        <d v="2023-07-10T00:00:00"/>
        <d v="2023-06-04T00:00:00"/>
        <d v="2023-11-10T00:00:00"/>
        <d v="2023-09-15T00:00:00"/>
        <d v="2023-07-25T00:00:00"/>
        <d v="2023-03-18T00:00:00"/>
        <d v="2023-08-21T00:00:00"/>
        <d v="2023-06-12T00:00:00"/>
        <d v="2023-03-15T00:00:00"/>
        <d v="2023-12-18T00:00:00"/>
        <d v="2023-08-30T00:00:00"/>
        <d v="2023-07-11T00:00:00"/>
        <d v="2023-01-22T00:00:00"/>
        <d v="2023-11-02T00:00:00"/>
        <d v="2023-07-23T00:00:00"/>
        <d v="2023-02-02T00:00:00"/>
        <d v="2023-03-20T00:00:00"/>
        <d v="2023-02-27T00:00:00"/>
        <d v="2023-09-28T00:00:00"/>
        <d v="2023-01-21T00:00:00"/>
        <d v="2023-07-27T00:00:00"/>
        <d v="2023-04-03T00:00:00"/>
        <d v="2023-06-23T00:00:00"/>
        <d v="2023-02-19T00:00:00"/>
        <d v="2023-01-24T00:00:00"/>
        <d v="2023-07-24T00:00:00"/>
        <d v="2023-04-26T00:00:00"/>
        <d v="2023-11-13T00:00:00"/>
        <d v="2023-12-14T00:00:00"/>
        <d v="2023-08-26T00:00:00"/>
        <d v="2023-08-09T00:00:00"/>
        <d v="2023-07-26T00:00:00"/>
      </sharedItems>
      <fieldGroup par="16"/>
    </cacheField>
    <cacheField name="Sales_Rep" numFmtId="0">
      <sharedItems count="5">
        <s v="Bob"/>
        <s v="David"/>
        <s v="Charlie"/>
        <s v="Eve"/>
        <s v="Alice"/>
      </sharedItems>
    </cacheField>
    <cacheField name="Region" numFmtId="0">
      <sharedItems count="4">
        <s v="North"/>
        <s v="West"/>
        <s v="South"/>
        <s v="East"/>
      </sharedItems>
    </cacheField>
    <cacheField name="Sales_Amount" numFmtId="0">
      <sharedItems containsSemiMixedTypes="0" containsString="0" containsNumber="1" minValue="100.12" maxValue="9989.0400000000009"/>
    </cacheField>
    <cacheField name="Quantity_Sold" numFmtId="0">
      <sharedItems containsSemiMixedTypes="0" containsString="0" containsNumber="1" containsInteger="1" minValue="1" maxValue="49"/>
    </cacheField>
    <cacheField name="Product_Category" numFmtId="0">
      <sharedItems count="4">
        <s v="Furniture"/>
        <s v="Food"/>
        <s v="Clothing"/>
        <s v="Electronics"/>
      </sharedItems>
    </cacheField>
    <cacheField name="Unit_Cost" numFmtId="0">
      <sharedItems containsSemiMixedTypes="0" containsString="0" containsNumber="1" minValue="60.28" maxValue="4995.3"/>
    </cacheField>
    <cacheField name="Unit_Price" numFmtId="0">
      <sharedItems containsSemiMixedTypes="0" containsString="0" containsNumber="1" minValue="167.12" maxValue="5442.15"/>
    </cacheField>
    <cacheField name="Customer_Type" numFmtId="0">
      <sharedItems/>
    </cacheField>
    <cacheField name="Discount" numFmtId="0">
      <sharedItems containsSemiMixedTypes="0" containsString="0" containsNumber="1" minValue="0" maxValue="0.3" count="31">
        <n v="0.09"/>
        <n v="0.11"/>
        <n v="0.2"/>
        <n v="0.02"/>
        <n v="0.08"/>
        <n v="0.21"/>
        <n v="0.14000000000000001"/>
        <n v="0.12"/>
        <n v="0.05"/>
        <n v="0.13"/>
        <n v="0.23"/>
        <n v="0"/>
        <n v="0.28999999999999998"/>
        <n v="0.18"/>
        <n v="0.04"/>
        <n v="0.1"/>
        <n v="0.26"/>
        <n v="7.0000000000000007E-2"/>
        <n v="0.06"/>
        <n v="0.24"/>
        <n v="0.22"/>
        <n v="0.03"/>
        <n v="0.17"/>
        <n v="0.3"/>
        <n v="0.28000000000000003"/>
        <n v="0.15"/>
        <n v="0.25"/>
        <n v="0.19"/>
        <n v="0.16"/>
        <n v="0.27"/>
        <n v="0.01"/>
      </sharedItems>
    </cacheField>
    <cacheField name="Payment_Method" numFmtId="0">
      <sharedItems count="3">
        <s v="Cash"/>
        <s v="Bank Transfer"/>
        <s v="Credit Card"/>
      </sharedItems>
    </cacheField>
    <cacheField name="Sales_Channel" numFmtId="0">
      <sharedItems count="2">
        <s v="Online"/>
        <s v="Retail"/>
      </sharedItems>
    </cacheField>
    <cacheField name="Region_and_Sales_Rep" numFmtId="0">
      <sharedItems count="20">
        <s v="North-Bob"/>
        <s v="West-Bob"/>
        <s v="South-David"/>
        <s v="South-Bob"/>
        <s v="East-Charlie"/>
        <s v="West-Charlie"/>
        <s v="South-Eve"/>
        <s v="North-Eve"/>
        <s v="West-Eve"/>
        <s v="South-Alice"/>
        <s v="South-Charlie"/>
        <s v="North-David"/>
        <s v="East-Bob"/>
        <s v="West-David"/>
        <s v="East-Eve"/>
        <s v="North-Alice"/>
        <s v="East-David"/>
        <s v="West-Alice"/>
        <s v="East-Alice"/>
        <s v="North-Charlie"/>
      </sharedItems>
    </cacheField>
    <cacheField name="Months (Sale_Date)" numFmtId="0" databaseField="0">
      <fieldGroup base="1">
        <rangePr groupBy="months" startDate="2023-01-01T00:00:00" endDate="2024-01-02T00:00:00"/>
        <groupItems count="14">
          <s v="&lt;01-01-2023"/>
          <s v="Jan"/>
          <s v="Feb"/>
          <s v="Mar"/>
          <s v="Apr"/>
          <s v="May"/>
          <s v="Jun"/>
          <s v="Jul"/>
          <s v="Aug"/>
          <s v="Sep"/>
          <s v="Oct"/>
          <s v="Nov"/>
          <s v="Dec"/>
          <s v="&gt;02-01-2024"/>
        </groupItems>
      </fieldGroup>
    </cacheField>
    <cacheField name="Quarters (Sale_Date)" numFmtId="0" databaseField="0">
      <fieldGroup base="1">
        <rangePr groupBy="quarters" startDate="2023-01-01T00:00:00" endDate="2024-01-02T00:00:00"/>
        <groupItems count="6">
          <s v="&lt;01-01-2023"/>
          <s v="Qtr1"/>
          <s v="Qtr2"/>
          <s v="Qtr3"/>
          <s v="Qtr4"/>
          <s v="&gt;02-01-2024"/>
        </groupItems>
      </fieldGroup>
    </cacheField>
    <cacheField name="Years (Sale_Date)" numFmtId="0" databaseField="0">
      <fieldGroup base="1">
        <rangePr groupBy="years" startDate="2023-01-01T00:00:00" endDate="2024-01-02T00:00:00"/>
        <groupItems count="4">
          <s v="&lt;01-01-2023"/>
          <s v="2023"/>
          <s v="2024"/>
          <s v="&gt;02-01-2024"/>
        </groupItems>
      </fieldGroup>
    </cacheField>
    <cacheField name="profit" numFmtId="0" formula="Unit_Cost-Unit_Price" databaseField="0"/>
    <cacheField name="profitss" numFmtId="0" formula="Unit_Price-Unit_Cost" databaseField="0"/>
  </cacheFields>
  <extLst>
    <ext xmlns:x14="http://schemas.microsoft.com/office/spreadsheetml/2009/9/main" uri="{725AE2AE-9491-48be-B2B4-4EB974FC3084}">
      <x14:pivotCacheDefinition pivotCacheId="14776804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052"/>
    <x v="0"/>
    <x v="0"/>
    <x v="0"/>
    <n v="5053.97"/>
    <n v="18"/>
    <x v="0"/>
    <n v="152.75"/>
    <n v="267.22000000000003"/>
    <s v="Returning"/>
    <x v="0"/>
    <x v="0"/>
    <x v="0"/>
    <x v="0"/>
  </r>
  <r>
    <n v="1093"/>
    <x v="1"/>
    <x v="0"/>
    <x v="1"/>
    <n v="4384.0200000000004"/>
    <n v="17"/>
    <x v="0"/>
    <n v="3816.39"/>
    <n v="4209.4399999999996"/>
    <s v="Returning"/>
    <x v="1"/>
    <x v="0"/>
    <x v="1"/>
    <x v="1"/>
  </r>
  <r>
    <n v="1015"/>
    <x v="2"/>
    <x v="1"/>
    <x v="2"/>
    <n v="4631.2299999999996"/>
    <n v="30"/>
    <x v="1"/>
    <n v="261.56"/>
    <n v="371.4"/>
    <s v="Returning"/>
    <x v="2"/>
    <x v="1"/>
    <x v="1"/>
    <x v="2"/>
  </r>
  <r>
    <n v="1072"/>
    <x v="3"/>
    <x v="0"/>
    <x v="2"/>
    <n v="2167.94"/>
    <n v="39"/>
    <x v="2"/>
    <n v="4330.03"/>
    <n v="4467.75"/>
    <s v="New"/>
    <x v="3"/>
    <x v="2"/>
    <x v="1"/>
    <x v="3"/>
  </r>
  <r>
    <n v="1061"/>
    <x v="4"/>
    <x v="2"/>
    <x v="3"/>
    <n v="3750.2"/>
    <n v="13"/>
    <x v="3"/>
    <n v="637.37"/>
    <n v="692.71"/>
    <s v="New"/>
    <x v="4"/>
    <x v="2"/>
    <x v="0"/>
    <x v="4"/>
  </r>
  <r>
    <n v="1021"/>
    <x v="5"/>
    <x v="2"/>
    <x v="1"/>
    <n v="3761.15"/>
    <n v="32"/>
    <x v="1"/>
    <n v="900.79"/>
    <n v="1106.51"/>
    <s v="New"/>
    <x v="5"/>
    <x v="0"/>
    <x v="0"/>
    <x v="5"/>
  </r>
  <r>
    <n v="1083"/>
    <x v="6"/>
    <x v="0"/>
    <x v="1"/>
    <n v="618.30999999999995"/>
    <n v="29"/>
    <x v="0"/>
    <n v="2408.81"/>
    <n v="2624.09"/>
    <s v="Returning"/>
    <x v="6"/>
    <x v="0"/>
    <x v="0"/>
    <x v="1"/>
  </r>
  <r>
    <n v="1087"/>
    <x v="7"/>
    <x v="3"/>
    <x v="2"/>
    <n v="7698.92"/>
    <n v="46"/>
    <x v="0"/>
    <n v="3702.51"/>
    <n v="3964.65"/>
    <s v="New"/>
    <x v="7"/>
    <x v="1"/>
    <x v="0"/>
    <x v="6"/>
  </r>
  <r>
    <n v="1075"/>
    <x v="8"/>
    <x v="1"/>
    <x v="2"/>
    <n v="4223.3900000000003"/>
    <n v="30"/>
    <x v="0"/>
    <n v="738.06"/>
    <n v="1095.44999999999"/>
    <s v="New"/>
    <x v="8"/>
    <x v="1"/>
    <x v="0"/>
    <x v="2"/>
  </r>
  <r>
    <n v="1075"/>
    <x v="9"/>
    <x v="2"/>
    <x v="1"/>
    <n v="8239.58"/>
    <n v="18"/>
    <x v="2"/>
    <n v="2228.35"/>
    <n v="2682.34"/>
    <s v="New"/>
    <x v="9"/>
    <x v="1"/>
    <x v="0"/>
    <x v="5"/>
  </r>
  <r>
    <n v="1088"/>
    <x v="10"/>
    <x v="3"/>
    <x v="0"/>
    <n v="8518.4500000000007"/>
    <n v="13"/>
    <x v="0"/>
    <n v="2440.11"/>
    <n v="2517.6"/>
    <s v="New"/>
    <x v="10"/>
    <x v="1"/>
    <x v="1"/>
    <x v="7"/>
  </r>
  <r>
    <n v="1100"/>
    <x v="11"/>
    <x v="0"/>
    <x v="1"/>
    <n v="2198.7399999999998"/>
    <n v="43"/>
    <x v="1"/>
    <n v="1100.81"/>
    <n v="1137.44"/>
    <s v="Returning"/>
    <x v="4"/>
    <x v="1"/>
    <x v="0"/>
    <x v="1"/>
  </r>
  <r>
    <n v="1024"/>
    <x v="12"/>
    <x v="3"/>
    <x v="1"/>
    <n v="6607.8"/>
    <n v="21"/>
    <x v="1"/>
    <n v="622.01"/>
    <n v="641.09"/>
    <s v="Returning"/>
    <x v="11"/>
    <x v="1"/>
    <x v="1"/>
    <x v="8"/>
  </r>
  <r>
    <n v="1003"/>
    <x v="13"/>
    <x v="4"/>
    <x v="2"/>
    <n v="4775.59"/>
    <n v="30"/>
    <x v="0"/>
    <n v="4190.28"/>
    <n v="4270.6499999999996"/>
    <s v="New"/>
    <x v="2"/>
    <x v="0"/>
    <x v="0"/>
    <x v="9"/>
  </r>
  <r>
    <n v="1022"/>
    <x v="14"/>
    <x v="2"/>
    <x v="2"/>
    <n v="8813.5499999999993"/>
    <n v="21"/>
    <x v="1"/>
    <n v="2537.1999999999998"/>
    <n v="2869.6"/>
    <s v="New"/>
    <x v="12"/>
    <x v="1"/>
    <x v="1"/>
    <x v="10"/>
  </r>
  <r>
    <n v="1053"/>
    <x v="15"/>
    <x v="0"/>
    <x v="0"/>
    <n v="2235.83"/>
    <n v="48"/>
    <x v="0"/>
    <n v="121.19"/>
    <n v="487.65"/>
    <s v="New"/>
    <x v="13"/>
    <x v="0"/>
    <x v="1"/>
    <x v="0"/>
  </r>
  <r>
    <n v="1002"/>
    <x v="16"/>
    <x v="1"/>
    <x v="0"/>
    <n v="6810.35"/>
    <n v="17"/>
    <x v="0"/>
    <n v="4024.76"/>
    <n v="4420.1499999999996"/>
    <s v="Returning"/>
    <x v="14"/>
    <x v="0"/>
    <x v="0"/>
    <x v="11"/>
  </r>
  <r>
    <n v="1088"/>
    <x v="17"/>
    <x v="0"/>
    <x v="3"/>
    <n v="6116.75"/>
    <n v="40"/>
    <x v="3"/>
    <n v="4904.93"/>
    <n v="5034.3500000000004"/>
    <s v="New"/>
    <x v="15"/>
    <x v="2"/>
    <x v="1"/>
    <x v="12"/>
  </r>
  <r>
    <n v="1030"/>
    <x v="18"/>
    <x v="1"/>
    <x v="1"/>
    <n v="3023.48"/>
    <n v="19"/>
    <x v="2"/>
    <n v="3049.33"/>
    <n v="3209.22"/>
    <s v="Returning"/>
    <x v="16"/>
    <x v="0"/>
    <x v="0"/>
    <x v="13"/>
  </r>
  <r>
    <n v="1038"/>
    <x v="19"/>
    <x v="0"/>
    <x v="2"/>
    <n v="1452.35"/>
    <n v="15"/>
    <x v="2"/>
    <n v="2543.36"/>
    <n v="2790.1"/>
    <s v="Returning"/>
    <x v="17"/>
    <x v="0"/>
    <x v="0"/>
    <x v="3"/>
  </r>
  <r>
    <n v="1002"/>
    <x v="20"/>
    <x v="3"/>
    <x v="0"/>
    <n v="6551.23"/>
    <n v="9"/>
    <x v="3"/>
    <n v="4398.16"/>
    <n v="4439.12"/>
    <s v="New"/>
    <x v="13"/>
    <x v="1"/>
    <x v="0"/>
    <x v="7"/>
  </r>
  <r>
    <n v="1064"/>
    <x v="21"/>
    <x v="3"/>
    <x v="3"/>
    <n v="7412.11"/>
    <n v="10"/>
    <x v="3"/>
    <n v="4764.96"/>
    <n v="5074.42"/>
    <s v="New"/>
    <x v="7"/>
    <x v="0"/>
    <x v="0"/>
    <x v="14"/>
  </r>
  <r>
    <n v="1060"/>
    <x v="22"/>
    <x v="3"/>
    <x v="3"/>
    <n v="3224.71"/>
    <n v="44"/>
    <x v="2"/>
    <n v="3784.96"/>
    <n v="4276.99"/>
    <s v="New"/>
    <x v="18"/>
    <x v="1"/>
    <x v="1"/>
    <x v="14"/>
  </r>
  <r>
    <n v="1021"/>
    <x v="23"/>
    <x v="4"/>
    <x v="2"/>
    <n v="6483.84"/>
    <n v="31"/>
    <x v="0"/>
    <n v="2254.9899999999998"/>
    <n v="2441.79"/>
    <s v="Returning"/>
    <x v="19"/>
    <x v="1"/>
    <x v="0"/>
    <x v="9"/>
  </r>
  <r>
    <n v="1033"/>
    <x v="24"/>
    <x v="1"/>
    <x v="2"/>
    <n v="4011.8"/>
    <n v="23"/>
    <x v="0"/>
    <n v="2981.5"/>
    <n v="3360.4"/>
    <s v="Returning"/>
    <x v="20"/>
    <x v="1"/>
    <x v="1"/>
    <x v="2"/>
  </r>
  <r>
    <n v="1076"/>
    <x v="22"/>
    <x v="3"/>
    <x v="3"/>
    <n v="7160.75"/>
    <n v="30"/>
    <x v="2"/>
    <n v="3519.63"/>
    <n v="3774.65"/>
    <s v="New"/>
    <x v="2"/>
    <x v="2"/>
    <x v="1"/>
    <x v="14"/>
  </r>
  <r>
    <n v="1058"/>
    <x v="25"/>
    <x v="4"/>
    <x v="0"/>
    <n v="2072.23"/>
    <n v="33"/>
    <x v="0"/>
    <n v="1011.65"/>
    <n v="1084.28"/>
    <s v="Returning"/>
    <x v="17"/>
    <x v="1"/>
    <x v="1"/>
    <x v="15"/>
  </r>
  <r>
    <n v="1022"/>
    <x v="26"/>
    <x v="1"/>
    <x v="3"/>
    <n v="8913.1299999999992"/>
    <n v="9"/>
    <x v="3"/>
    <n v="2263.65"/>
    <n v="2558.9499999999998"/>
    <s v="New"/>
    <x v="21"/>
    <x v="0"/>
    <x v="0"/>
    <x v="16"/>
  </r>
  <r>
    <n v="1089"/>
    <x v="27"/>
    <x v="0"/>
    <x v="1"/>
    <n v="2945.36"/>
    <n v="47"/>
    <x v="0"/>
    <n v="4157.62"/>
    <n v="4314.5599999999904"/>
    <s v="New"/>
    <x v="22"/>
    <x v="1"/>
    <x v="1"/>
    <x v="1"/>
  </r>
  <r>
    <n v="1049"/>
    <x v="28"/>
    <x v="4"/>
    <x v="1"/>
    <n v="3741.08"/>
    <n v="1"/>
    <x v="0"/>
    <n v="3290.89"/>
    <n v="3317.75"/>
    <s v="Returning"/>
    <x v="22"/>
    <x v="1"/>
    <x v="0"/>
    <x v="17"/>
  </r>
  <r>
    <n v="1091"/>
    <x v="29"/>
    <x v="2"/>
    <x v="2"/>
    <n v="675.11"/>
    <n v="44"/>
    <x v="1"/>
    <n v="2085.46"/>
    <n v="2406.58"/>
    <s v="Returning"/>
    <x v="18"/>
    <x v="1"/>
    <x v="1"/>
    <x v="10"/>
  </r>
  <r>
    <n v="1059"/>
    <x v="30"/>
    <x v="4"/>
    <x v="0"/>
    <n v="1203.97"/>
    <n v="35"/>
    <x v="1"/>
    <n v="3333.64"/>
    <n v="3764.52"/>
    <s v="Returning"/>
    <x v="3"/>
    <x v="2"/>
    <x v="0"/>
    <x v="15"/>
  </r>
  <r>
    <n v="1042"/>
    <x v="31"/>
    <x v="4"/>
    <x v="0"/>
    <n v="5207.03"/>
    <n v="11"/>
    <x v="1"/>
    <n v="635.20000000000005"/>
    <n v="814.14"/>
    <s v="Returning"/>
    <x v="3"/>
    <x v="0"/>
    <x v="0"/>
    <x v="15"/>
  </r>
  <r>
    <n v="1092"/>
    <x v="32"/>
    <x v="1"/>
    <x v="1"/>
    <n v="2749.17"/>
    <n v="34"/>
    <x v="0"/>
    <n v="2037.41"/>
    <n v="2238.65"/>
    <s v="New"/>
    <x v="23"/>
    <x v="2"/>
    <x v="0"/>
    <x v="13"/>
  </r>
  <r>
    <n v="1060"/>
    <x v="14"/>
    <x v="0"/>
    <x v="3"/>
    <n v="8371.25"/>
    <n v="16"/>
    <x v="2"/>
    <n v="3975.99"/>
    <n v="4422.59"/>
    <s v="New"/>
    <x v="19"/>
    <x v="0"/>
    <x v="0"/>
    <x v="12"/>
  </r>
  <r>
    <n v="1080"/>
    <x v="33"/>
    <x v="2"/>
    <x v="2"/>
    <n v="245.46"/>
    <n v="9"/>
    <x v="3"/>
    <n v="1141.52"/>
    <n v="1550.19"/>
    <s v="New"/>
    <x v="24"/>
    <x v="2"/>
    <x v="1"/>
    <x v="10"/>
  </r>
  <r>
    <n v="1015"/>
    <x v="34"/>
    <x v="3"/>
    <x v="3"/>
    <n v="3853.03"/>
    <n v="32"/>
    <x v="0"/>
    <n v="970.51"/>
    <n v="1330.84"/>
    <s v="Returning"/>
    <x v="18"/>
    <x v="0"/>
    <x v="1"/>
    <x v="14"/>
  </r>
  <r>
    <n v="1062"/>
    <x v="7"/>
    <x v="3"/>
    <x v="3"/>
    <n v="3439.72"/>
    <n v="15"/>
    <x v="2"/>
    <n v="4756.55"/>
    <n v="4888.46"/>
    <s v="New"/>
    <x v="12"/>
    <x v="2"/>
    <x v="0"/>
    <x v="14"/>
  </r>
  <r>
    <n v="1062"/>
    <x v="35"/>
    <x v="4"/>
    <x v="3"/>
    <n v="291.33999999999997"/>
    <n v="12"/>
    <x v="0"/>
    <n v="1088.99"/>
    <n v="1545"/>
    <s v="Returning"/>
    <x v="14"/>
    <x v="1"/>
    <x v="1"/>
    <x v="18"/>
  </r>
  <r>
    <n v="1047"/>
    <x v="36"/>
    <x v="1"/>
    <x v="0"/>
    <n v="1331.25"/>
    <n v="33"/>
    <x v="3"/>
    <n v="1341.55"/>
    <n v="1427.21"/>
    <s v="Returning"/>
    <x v="25"/>
    <x v="2"/>
    <x v="0"/>
    <x v="11"/>
  </r>
  <r>
    <n v="1062"/>
    <x v="37"/>
    <x v="1"/>
    <x v="1"/>
    <n v="4195.0600000000004"/>
    <n v="45"/>
    <x v="0"/>
    <n v="4849.6000000000004"/>
    <n v="5166.72"/>
    <s v="Returning"/>
    <x v="26"/>
    <x v="2"/>
    <x v="0"/>
    <x v="13"/>
  </r>
  <r>
    <n v="1051"/>
    <x v="21"/>
    <x v="3"/>
    <x v="0"/>
    <n v="4979.3599999999997"/>
    <n v="14"/>
    <x v="3"/>
    <n v="3686.81"/>
    <n v="3710.92"/>
    <s v="New"/>
    <x v="15"/>
    <x v="1"/>
    <x v="1"/>
    <x v="7"/>
  </r>
  <r>
    <n v="1055"/>
    <x v="38"/>
    <x v="2"/>
    <x v="1"/>
    <n v="4102.47"/>
    <n v="8"/>
    <x v="0"/>
    <n v="3513"/>
    <n v="3838.42"/>
    <s v="Returning"/>
    <x v="9"/>
    <x v="1"/>
    <x v="0"/>
    <x v="5"/>
  </r>
  <r>
    <n v="1064"/>
    <x v="39"/>
    <x v="0"/>
    <x v="2"/>
    <n v="5356.28"/>
    <n v="8"/>
    <x v="3"/>
    <n v="4271.99"/>
    <n v="4417.79"/>
    <s v="Returning"/>
    <x v="14"/>
    <x v="0"/>
    <x v="0"/>
    <x v="3"/>
  </r>
  <r>
    <n v="1003"/>
    <x v="40"/>
    <x v="2"/>
    <x v="2"/>
    <n v="5991.8"/>
    <n v="27"/>
    <x v="0"/>
    <n v="623.32000000000005"/>
    <n v="853.66"/>
    <s v="Returning"/>
    <x v="14"/>
    <x v="0"/>
    <x v="0"/>
    <x v="10"/>
  </r>
  <r>
    <n v="1051"/>
    <x v="41"/>
    <x v="0"/>
    <x v="3"/>
    <n v="198.25"/>
    <n v="12"/>
    <x v="3"/>
    <n v="3544.48"/>
    <n v="3723.66"/>
    <s v="Returning"/>
    <x v="27"/>
    <x v="0"/>
    <x v="0"/>
    <x v="12"/>
  </r>
  <r>
    <n v="1007"/>
    <x v="42"/>
    <x v="3"/>
    <x v="1"/>
    <n v="4694.54"/>
    <n v="1"/>
    <x v="1"/>
    <n v="2543.2600000000002"/>
    <n v="2637.91"/>
    <s v="Returning"/>
    <x v="2"/>
    <x v="2"/>
    <x v="0"/>
    <x v="8"/>
  </r>
  <r>
    <n v="1021"/>
    <x v="43"/>
    <x v="0"/>
    <x v="1"/>
    <n v="9638.64"/>
    <n v="43"/>
    <x v="0"/>
    <n v="4154.3"/>
    <n v="4469.07"/>
    <s v="Returning"/>
    <x v="10"/>
    <x v="0"/>
    <x v="1"/>
    <x v="1"/>
  </r>
  <r>
    <n v="1073"/>
    <x v="38"/>
    <x v="1"/>
    <x v="1"/>
    <n v="5238.42"/>
    <n v="40"/>
    <x v="0"/>
    <n v="2565.3000000000002"/>
    <n v="3007.47"/>
    <s v="Returning"/>
    <x v="22"/>
    <x v="2"/>
    <x v="1"/>
    <x v="13"/>
  </r>
  <r>
    <n v="1039"/>
    <x v="44"/>
    <x v="4"/>
    <x v="3"/>
    <n v="6807.67"/>
    <n v="42"/>
    <x v="2"/>
    <n v="3120.19"/>
    <n v="3600.14"/>
    <s v="Returning"/>
    <x v="27"/>
    <x v="2"/>
    <x v="1"/>
    <x v="18"/>
  </r>
  <r>
    <n v="1018"/>
    <x v="45"/>
    <x v="4"/>
    <x v="3"/>
    <n v="3187.45"/>
    <n v="11"/>
    <x v="2"/>
    <n v="2414.8200000000002"/>
    <n v="2519.0700000000002"/>
    <s v="Returning"/>
    <x v="11"/>
    <x v="0"/>
    <x v="0"/>
    <x v="18"/>
  </r>
  <r>
    <n v="1004"/>
    <x v="46"/>
    <x v="3"/>
    <x v="2"/>
    <n v="7762.51"/>
    <n v="39"/>
    <x v="3"/>
    <n v="2416.89"/>
    <n v="2778.3999999999901"/>
    <s v="Returning"/>
    <x v="8"/>
    <x v="0"/>
    <x v="0"/>
    <x v="6"/>
  </r>
  <r>
    <n v="1089"/>
    <x v="47"/>
    <x v="1"/>
    <x v="0"/>
    <n v="7751.92"/>
    <n v="43"/>
    <x v="0"/>
    <n v="3851.45"/>
    <n v="4186.9799999999996"/>
    <s v="Returning"/>
    <x v="23"/>
    <x v="2"/>
    <x v="0"/>
    <x v="11"/>
  </r>
  <r>
    <n v="1060"/>
    <x v="48"/>
    <x v="2"/>
    <x v="1"/>
    <n v="5260.83"/>
    <n v="31"/>
    <x v="3"/>
    <n v="3161.4"/>
    <n v="3339.66"/>
    <s v="Returning"/>
    <x v="3"/>
    <x v="1"/>
    <x v="0"/>
    <x v="5"/>
  </r>
  <r>
    <n v="1014"/>
    <x v="49"/>
    <x v="1"/>
    <x v="1"/>
    <n v="9762.5400000000009"/>
    <n v="17"/>
    <x v="1"/>
    <n v="3184.65"/>
    <n v="3204.01"/>
    <s v="New"/>
    <x v="2"/>
    <x v="1"/>
    <x v="0"/>
    <x v="13"/>
  </r>
  <r>
    <n v="1009"/>
    <x v="40"/>
    <x v="4"/>
    <x v="0"/>
    <n v="1342.95"/>
    <n v="33"/>
    <x v="2"/>
    <n v="2278.9"/>
    <n v="2626.9"/>
    <s v="New"/>
    <x v="8"/>
    <x v="2"/>
    <x v="0"/>
    <x v="15"/>
  </r>
  <r>
    <n v="1090"/>
    <x v="50"/>
    <x v="4"/>
    <x v="1"/>
    <n v="267.77999999999997"/>
    <n v="32"/>
    <x v="3"/>
    <n v="2678.99"/>
    <n v="3152.2799999999902"/>
    <s v="Returning"/>
    <x v="20"/>
    <x v="0"/>
    <x v="1"/>
    <x v="17"/>
  </r>
  <r>
    <n v="1053"/>
    <x v="51"/>
    <x v="1"/>
    <x v="3"/>
    <n v="7724.57"/>
    <n v="29"/>
    <x v="3"/>
    <n v="3741.3"/>
    <n v="4061.04"/>
    <s v="Returning"/>
    <x v="5"/>
    <x v="2"/>
    <x v="0"/>
    <x v="16"/>
  </r>
  <r>
    <n v="1002"/>
    <x v="52"/>
    <x v="1"/>
    <x v="3"/>
    <n v="8090.84"/>
    <n v="21"/>
    <x v="2"/>
    <n v="4138.41"/>
    <n v="4361.7"/>
    <s v="Returning"/>
    <x v="17"/>
    <x v="2"/>
    <x v="1"/>
    <x v="16"/>
  </r>
  <r>
    <n v="1084"/>
    <x v="53"/>
    <x v="4"/>
    <x v="1"/>
    <n v="1290.05"/>
    <n v="21"/>
    <x v="0"/>
    <n v="3497.98"/>
    <n v="3765.31"/>
    <s v="New"/>
    <x v="4"/>
    <x v="0"/>
    <x v="0"/>
    <x v="17"/>
  </r>
  <r>
    <n v="1092"/>
    <x v="54"/>
    <x v="2"/>
    <x v="3"/>
    <n v="2729.27"/>
    <n v="40"/>
    <x v="3"/>
    <n v="4624.16"/>
    <n v="4731.9799999999996"/>
    <s v="New"/>
    <x v="2"/>
    <x v="1"/>
    <x v="1"/>
    <x v="4"/>
  </r>
  <r>
    <n v="1060"/>
    <x v="55"/>
    <x v="3"/>
    <x v="3"/>
    <n v="273.77"/>
    <n v="23"/>
    <x v="2"/>
    <n v="4110.6000000000004"/>
    <n v="4488.37"/>
    <s v="New"/>
    <x v="7"/>
    <x v="2"/>
    <x v="0"/>
    <x v="14"/>
  </r>
  <r>
    <n v="1071"/>
    <x v="56"/>
    <x v="3"/>
    <x v="1"/>
    <n v="3003.76"/>
    <n v="6"/>
    <x v="0"/>
    <n v="2831.23"/>
    <n v="3206.98"/>
    <s v="Returning"/>
    <x v="18"/>
    <x v="1"/>
    <x v="1"/>
    <x v="8"/>
  </r>
  <r>
    <n v="1044"/>
    <x v="57"/>
    <x v="1"/>
    <x v="2"/>
    <n v="7754.1"/>
    <n v="22"/>
    <x v="1"/>
    <n v="3373.46"/>
    <n v="3454.76"/>
    <s v="Returning"/>
    <x v="20"/>
    <x v="1"/>
    <x v="1"/>
    <x v="2"/>
  </r>
  <r>
    <n v="1008"/>
    <x v="58"/>
    <x v="3"/>
    <x v="0"/>
    <n v="5227.8100000000004"/>
    <n v="38"/>
    <x v="2"/>
    <n v="4635.2299999999996"/>
    <n v="5075.4399999999996"/>
    <s v="Returning"/>
    <x v="8"/>
    <x v="0"/>
    <x v="0"/>
    <x v="7"/>
  </r>
  <r>
    <n v="1047"/>
    <x v="59"/>
    <x v="4"/>
    <x v="3"/>
    <n v="3546.15"/>
    <n v="37"/>
    <x v="3"/>
    <n v="3114.88"/>
    <n v="3256.78"/>
    <s v="Returning"/>
    <x v="16"/>
    <x v="2"/>
    <x v="0"/>
    <x v="18"/>
  </r>
  <r>
    <n v="1035"/>
    <x v="60"/>
    <x v="4"/>
    <x v="2"/>
    <n v="3780.22"/>
    <n v="45"/>
    <x v="1"/>
    <n v="4132.79"/>
    <n v="4624.1000000000004"/>
    <s v="New"/>
    <x v="25"/>
    <x v="2"/>
    <x v="1"/>
    <x v="9"/>
  </r>
  <r>
    <n v="1078"/>
    <x v="10"/>
    <x v="1"/>
    <x v="3"/>
    <n v="113.4"/>
    <n v="8"/>
    <x v="0"/>
    <n v="3459.61"/>
    <n v="3657.23"/>
    <s v="Returning"/>
    <x v="21"/>
    <x v="1"/>
    <x v="0"/>
    <x v="16"/>
  </r>
  <r>
    <n v="1081"/>
    <x v="61"/>
    <x v="1"/>
    <x v="3"/>
    <n v="3068.03"/>
    <n v="41"/>
    <x v="0"/>
    <n v="2782.08"/>
    <n v="2879.24"/>
    <s v="New"/>
    <x v="5"/>
    <x v="1"/>
    <x v="0"/>
    <x v="16"/>
  </r>
  <r>
    <n v="1036"/>
    <x v="62"/>
    <x v="1"/>
    <x v="0"/>
    <n v="6499.94"/>
    <n v="49"/>
    <x v="2"/>
    <n v="1247.0999999999999"/>
    <n v="1429.4399999999901"/>
    <s v="New"/>
    <x v="28"/>
    <x v="0"/>
    <x v="0"/>
    <x v="11"/>
  </r>
  <r>
    <n v="1050"/>
    <x v="63"/>
    <x v="2"/>
    <x v="3"/>
    <n v="9744.52"/>
    <n v="35"/>
    <x v="2"/>
    <n v="2158.69"/>
    <n v="2384.38"/>
    <s v="Returning"/>
    <x v="0"/>
    <x v="1"/>
    <x v="1"/>
    <x v="4"/>
  </r>
  <r>
    <n v="1004"/>
    <x v="64"/>
    <x v="3"/>
    <x v="0"/>
    <n v="8485.9"/>
    <n v="11"/>
    <x v="2"/>
    <n v="4840.33"/>
    <n v="4884.29"/>
    <s v="New"/>
    <x v="9"/>
    <x v="0"/>
    <x v="0"/>
    <x v="7"/>
  </r>
  <r>
    <n v="1002"/>
    <x v="65"/>
    <x v="1"/>
    <x v="0"/>
    <n v="333.59"/>
    <n v="24"/>
    <x v="0"/>
    <n v="3305.94"/>
    <n v="3599.27"/>
    <s v="New"/>
    <x v="0"/>
    <x v="2"/>
    <x v="1"/>
    <x v="11"/>
  </r>
  <r>
    <n v="1006"/>
    <x v="66"/>
    <x v="0"/>
    <x v="0"/>
    <n v="8995.75"/>
    <n v="49"/>
    <x v="1"/>
    <n v="2843.76"/>
    <n v="3146.6"/>
    <s v="New"/>
    <x v="4"/>
    <x v="0"/>
    <x v="1"/>
    <x v="0"/>
  </r>
  <r>
    <n v="1054"/>
    <x v="67"/>
    <x v="0"/>
    <x v="2"/>
    <n v="7853.66"/>
    <n v="21"/>
    <x v="0"/>
    <n v="4668.1400000000003"/>
    <n v="5040.22"/>
    <s v="New"/>
    <x v="8"/>
    <x v="1"/>
    <x v="0"/>
    <x v="3"/>
  </r>
  <r>
    <n v="1004"/>
    <x v="68"/>
    <x v="4"/>
    <x v="1"/>
    <n v="7825.72"/>
    <n v="2"/>
    <x v="3"/>
    <n v="2953.23"/>
    <n v="2977.52"/>
    <s v="Returning"/>
    <x v="1"/>
    <x v="2"/>
    <x v="1"/>
    <x v="17"/>
  </r>
  <r>
    <n v="1054"/>
    <x v="69"/>
    <x v="3"/>
    <x v="2"/>
    <n v="4634.16"/>
    <n v="40"/>
    <x v="0"/>
    <n v="2654.11"/>
    <n v="2929.32"/>
    <s v="Returning"/>
    <x v="4"/>
    <x v="0"/>
    <x v="0"/>
    <x v="6"/>
  </r>
  <r>
    <n v="1093"/>
    <x v="70"/>
    <x v="1"/>
    <x v="1"/>
    <n v="4040.25"/>
    <n v="19"/>
    <x v="3"/>
    <n v="3808.59"/>
    <n v="3844.51"/>
    <s v="New"/>
    <x v="5"/>
    <x v="2"/>
    <x v="0"/>
    <x v="13"/>
  </r>
  <r>
    <n v="1063"/>
    <x v="71"/>
    <x v="0"/>
    <x v="1"/>
    <n v="3098.87"/>
    <n v="39"/>
    <x v="1"/>
    <n v="3577.69"/>
    <n v="3931.25"/>
    <s v="Returning"/>
    <x v="5"/>
    <x v="0"/>
    <x v="1"/>
    <x v="1"/>
  </r>
  <r>
    <n v="1018"/>
    <x v="72"/>
    <x v="3"/>
    <x v="0"/>
    <n v="750.38"/>
    <n v="28"/>
    <x v="2"/>
    <n v="1006.14"/>
    <n v="1043.45"/>
    <s v="New"/>
    <x v="25"/>
    <x v="1"/>
    <x v="1"/>
    <x v="7"/>
  </r>
  <r>
    <n v="1090"/>
    <x v="73"/>
    <x v="4"/>
    <x v="3"/>
    <n v="2359.5300000000002"/>
    <n v="17"/>
    <x v="2"/>
    <n v="2382.98"/>
    <n v="2839.73"/>
    <s v="Returning"/>
    <x v="10"/>
    <x v="1"/>
    <x v="1"/>
    <x v="18"/>
  </r>
  <r>
    <n v="1044"/>
    <x v="74"/>
    <x v="2"/>
    <x v="0"/>
    <n v="2541.38"/>
    <n v="6"/>
    <x v="0"/>
    <n v="2388.9499999999998"/>
    <n v="2742.97"/>
    <s v="Returning"/>
    <x v="26"/>
    <x v="2"/>
    <x v="1"/>
    <x v="19"/>
  </r>
  <r>
    <n v="1034"/>
    <x v="75"/>
    <x v="3"/>
    <x v="3"/>
    <n v="4892.3599999999997"/>
    <n v="19"/>
    <x v="2"/>
    <n v="1922.21"/>
    <n v="2180.83"/>
    <s v="Returning"/>
    <x v="22"/>
    <x v="2"/>
    <x v="1"/>
    <x v="14"/>
  </r>
  <r>
    <n v="1074"/>
    <x v="76"/>
    <x v="3"/>
    <x v="1"/>
    <n v="7499.7"/>
    <n v="38"/>
    <x v="1"/>
    <n v="2610.6"/>
    <n v="2836.94"/>
    <s v="Returning"/>
    <x v="27"/>
    <x v="2"/>
    <x v="0"/>
    <x v="8"/>
  </r>
  <r>
    <n v="1062"/>
    <x v="77"/>
    <x v="2"/>
    <x v="0"/>
    <n v="4790.72"/>
    <n v="28"/>
    <x v="2"/>
    <n v="2094.88"/>
    <n v="2168.91"/>
    <s v="Returning"/>
    <x v="4"/>
    <x v="0"/>
    <x v="1"/>
    <x v="19"/>
  </r>
  <r>
    <n v="1100"/>
    <x v="78"/>
    <x v="3"/>
    <x v="3"/>
    <n v="672.66"/>
    <n v="2"/>
    <x v="0"/>
    <n v="1036.76"/>
    <n v="1189.3499999999999"/>
    <s v="New"/>
    <x v="29"/>
    <x v="1"/>
    <x v="0"/>
    <x v="14"/>
  </r>
  <r>
    <n v="1014"/>
    <x v="6"/>
    <x v="4"/>
    <x v="2"/>
    <n v="9582.1200000000008"/>
    <n v="38"/>
    <x v="1"/>
    <n v="2091.21"/>
    <n v="2527"/>
    <s v="Returning"/>
    <x v="30"/>
    <x v="2"/>
    <x v="0"/>
    <x v="9"/>
  </r>
  <r>
    <n v="1095"/>
    <x v="79"/>
    <x v="4"/>
    <x v="3"/>
    <n v="9432.9699999999993"/>
    <n v="37"/>
    <x v="3"/>
    <n v="407.77"/>
    <n v="860.95"/>
    <s v="New"/>
    <x v="15"/>
    <x v="2"/>
    <x v="1"/>
    <x v="18"/>
  </r>
  <r>
    <n v="1048"/>
    <x v="80"/>
    <x v="2"/>
    <x v="0"/>
    <n v="7873.38"/>
    <n v="4"/>
    <x v="0"/>
    <n v="2900.14"/>
    <n v="2910.5099999999902"/>
    <s v="New"/>
    <x v="20"/>
    <x v="2"/>
    <x v="1"/>
    <x v="19"/>
  </r>
  <r>
    <n v="1015"/>
    <x v="81"/>
    <x v="1"/>
    <x v="2"/>
    <n v="9914.15"/>
    <n v="22"/>
    <x v="3"/>
    <n v="4275.59"/>
    <n v="4576.72"/>
    <s v="Returning"/>
    <x v="3"/>
    <x v="0"/>
    <x v="1"/>
    <x v="2"/>
  </r>
  <r>
    <n v="1072"/>
    <x v="61"/>
    <x v="0"/>
    <x v="3"/>
    <n v="5490.38"/>
    <n v="26"/>
    <x v="1"/>
    <n v="3640.17"/>
    <n v="4002.63"/>
    <s v="New"/>
    <x v="8"/>
    <x v="2"/>
    <x v="1"/>
    <x v="12"/>
  </r>
  <r>
    <n v="1078"/>
    <x v="41"/>
    <x v="1"/>
    <x v="3"/>
    <n v="9631.41"/>
    <n v="49"/>
    <x v="0"/>
    <n v="1833.95"/>
    <n v="2147.14"/>
    <s v="Returning"/>
    <x v="13"/>
    <x v="2"/>
    <x v="1"/>
    <x v="16"/>
  </r>
  <r>
    <n v="1087"/>
    <x v="25"/>
    <x v="3"/>
    <x v="3"/>
    <n v="848.49"/>
    <n v="43"/>
    <x v="0"/>
    <n v="481"/>
    <n v="531.02"/>
    <s v="New"/>
    <x v="22"/>
    <x v="0"/>
    <x v="0"/>
    <x v="14"/>
  </r>
  <r>
    <n v="1062"/>
    <x v="82"/>
    <x v="0"/>
    <x v="3"/>
    <n v="3720.24"/>
    <n v="36"/>
    <x v="1"/>
    <n v="1050.6400000000001"/>
    <n v="1167.33"/>
    <s v="New"/>
    <x v="20"/>
    <x v="0"/>
    <x v="0"/>
    <x v="12"/>
  </r>
  <r>
    <n v="1040"/>
    <x v="83"/>
    <x v="2"/>
    <x v="3"/>
    <n v="2331.27"/>
    <n v="13"/>
    <x v="2"/>
    <n v="2750.18"/>
    <n v="2882.85"/>
    <s v="Returning"/>
    <x v="19"/>
    <x v="2"/>
    <x v="0"/>
    <x v="4"/>
  </r>
  <r>
    <n v="1085"/>
    <x v="24"/>
    <x v="2"/>
    <x v="2"/>
    <n v="2038.75"/>
    <n v="32"/>
    <x v="0"/>
    <n v="1074.93"/>
    <n v="1492.48"/>
    <s v="Returning"/>
    <x v="14"/>
    <x v="2"/>
    <x v="1"/>
    <x v="10"/>
  </r>
  <r>
    <n v="1080"/>
    <x v="3"/>
    <x v="0"/>
    <x v="1"/>
    <n v="1493.95"/>
    <n v="17"/>
    <x v="0"/>
    <n v="2742.67"/>
    <n v="2979.64"/>
    <s v="Returning"/>
    <x v="30"/>
    <x v="0"/>
    <x v="1"/>
    <x v="1"/>
  </r>
  <r>
    <n v="1082"/>
    <x v="84"/>
    <x v="4"/>
    <x v="2"/>
    <n v="6261.9"/>
    <n v="41"/>
    <x v="3"/>
    <n v="1196.42"/>
    <n v="1444.97"/>
    <s v="Returning"/>
    <x v="5"/>
    <x v="1"/>
    <x v="0"/>
    <x v="9"/>
  </r>
  <r>
    <n v="1053"/>
    <x v="28"/>
    <x v="0"/>
    <x v="2"/>
    <n v="7835.09"/>
    <n v="36"/>
    <x v="2"/>
    <n v="4252.17"/>
    <n v="4720.2700000000004"/>
    <s v="New"/>
    <x v="0"/>
    <x v="0"/>
    <x v="1"/>
    <x v="3"/>
  </r>
  <r>
    <n v="1024"/>
    <x v="85"/>
    <x v="3"/>
    <x v="2"/>
    <n v="5825.15"/>
    <n v="46"/>
    <x v="3"/>
    <n v="2016.49"/>
    <n v="2338.66"/>
    <s v="Returning"/>
    <x v="27"/>
    <x v="1"/>
    <x v="1"/>
    <x v="6"/>
  </r>
  <r>
    <n v="1026"/>
    <x v="86"/>
    <x v="4"/>
    <x v="1"/>
    <n v="1554.93"/>
    <n v="19"/>
    <x v="3"/>
    <n v="1265.48"/>
    <n v="1715.83"/>
    <s v="New"/>
    <x v="8"/>
    <x v="2"/>
    <x v="1"/>
    <x v="17"/>
  </r>
  <r>
    <n v="1089"/>
    <x v="58"/>
    <x v="2"/>
    <x v="0"/>
    <n v="8130.13"/>
    <n v="35"/>
    <x v="2"/>
    <n v="4071.01"/>
    <n v="4304.7"/>
    <s v="New"/>
    <x v="6"/>
    <x v="2"/>
    <x v="0"/>
    <x v="19"/>
  </r>
  <r>
    <n v="1060"/>
    <x v="87"/>
    <x v="0"/>
    <x v="1"/>
    <n v="6395.95"/>
    <n v="46"/>
    <x v="2"/>
    <n v="1747.05"/>
    <n v="1830.27"/>
    <s v="New"/>
    <x v="25"/>
    <x v="1"/>
    <x v="1"/>
    <x v="1"/>
  </r>
  <r>
    <n v="1041"/>
    <x v="10"/>
    <x v="1"/>
    <x v="2"/>
    <n v="3942.84"/>
    <n v="40"/>
    <x v="1"/>
    <n v="601.86"/>
    <n v="1067.53"/>
    <s v="New"/>
    <x v="13"/>
    <x v="0"/>
    <x v="0"/>
    <x v="2"/>
  </r>
  <r>
    <n v="1029"/>
    <x v="88"/>
    <x v="1"/>
    <x v="3"/>
    <n v="6773.89"/>
    <n v="28"/>
    <x v="2"/>
    <n v="2873.53"/>
    <n v="3108.3"/>
    <s v="New"/>
    <x v="25"/>
    <x v="2"/>
    <x v="1"/>
    <x v="16"/>
  </r>
  <r>
    <n v="1015"/>
    <x v="10"/>
    <x v="3"/>
    <x v="3"/>
    <n v="2673.06"/>
    <n v="1"/>
    <x v="0"/>
    <n v="2928.74"/>
    <n v="3027.74"/>
    <s v="New"/>
    <x v="25"/>
    <x v="1"/>
    <x v="1"/>
    <x v="14"/>
  </r>
  <r>
    <n v="1045"/>
    <x v="89"/>
    <x v="1"/>
    <x v="2"/>
    <n v="3517.4"/>
    <n v="42"/>
    <x v="2"/>
    <n v="3587.74"/>
    <n v="3745.91"/>
    <s v="Returning"/>
    <x v="15"/>
    <x v="0"/>
    <x v="0"/>
    <x v="2"/>
  </r>
  <r>
    <n v="1065"/>
    <x v="90"/>
    <x v="0"/>
    <x v="3"/>
    <n v="9183.11"/>
    <n v="18"/>
    <x v="1"/>
    <n v="1239.0899999999999"/>
    <n v="1273.98"/>
    <s v="New"/>
    <x v="3"/>
    <x v="1"/>
    <x v="1"/>
    <x v="12"/>
  </r>
  <r>
    <n v="1089"/>
    <x v="91"/>
    <x v="0"/>
    <x v="2"/>
    <n v="2975.99"/>
    <n v="48"/>
    <x v="1"/>
    <n v="2246.67"/>
    <n v="2486.14"/>
    <s v="New"/>
    <x v="21"/>
    <x v="0"/>
    <x v="1"/>
    <x v="3"/>
  </r>
  <r>
    <n v="1071"/>
    <x v="92"/>
    <x v="1"/>
    <x v="3"/>
    <n v="4752.88"/>
    <n v="40"/>
    <x v="1"/>
    <n v="1447.72"/>
    <n v="1875.75"/>
    <s v="New"/>
    <x v="9"/>
    <x v="0"/>
    <x v="1"/>
    <x v="16"/>
  </r>
  <r>
    <n v="1009"/>
    <x v="14"/>
    <x v="0"/>
    <x v="1"/>
    <n v="8912.4"/>
    <n v="33"/>
    <x v="2"/>
    <n v="450.72"/>
    <n v="918.17"/>
    <s v="Returning"/>
    <x v="1"/>
    <x v="0"/>
    <x v="0"/>
    <x v="1"/>
  </r>
  <r>
    <n v="1088"/>
    <x v="93"/>
    <x v="3"/>
    <x v="0"/>
    <n v="7106.44"/>
    <n v="12"/>
    <x v="2"/>
    <n v="4389.24"/>
    <n v="4856.2199999999903"/>
    <s v="Returning"/>
    <x v="25"/>
    <x v="0"/>
    <x v="1"/>
    <x v="7"/>
  </r>
  <r>
    <n v="1001"/>
    <x v="94"/>
    <x v="4"/>
    <x v="0"/>
    <n v="715.81"/>
    <n v="8"/>
    <x v="3"/>
    <n v="3657.91"/>
    <n v="3729.27"/>
    <s v="New"/>
    <x v="0"/>
    <x v="1"/>
    <x v="1"/>
    <x v="15"/>
  </r>
  <r>
    <n v="1008"/>
    <x v="95"/>
    <x v="3"/>
    <x v="1"/>
    <n v="1558.3"/>
    <n v="24"/>
    <x v="3"/>
    <n v="1542.24"/>
    <n v="1739.45"/>
    <s v="Returning"/>
    <x v="5"/>
    <x v="1"/>
    <x v="1"/>
    <x v="8"/>
  </r>
  <r>
    <n v="1088"/>
    <x v="96"/>
    <x v="3"/>
    <x v="1"/>
    <n v="177.63"/>
    <n v="16"/>
    <x v="0"/>
    <n v="3016.9"/>
    <n v="3040.73"/>
    <s v="New"/>
    <x v="16"/>
    <x v="1"/>
    <x v="1"/>
    <x v="8"/>
  </r>
  <r>
    <n v="1063"/>
    <x v="97"/>
    <x v="0"/>
    <x v="2"/>
    <n v="6346.13"/>
    <n v="4"/>
    <x v="3"/>
    <n v="1046.26"/>
    <n v="1475.29"/>
    <s v="Returning"/>
    <x v="0"/>
    <x v="1"/>
    <x v="1"/>
    <x v="3"/>
  </r>
  <r>
    <n v="1011"/>
    <x v="98"/>
    <x v="4"/>
    <x v="2"/>
    <n v="4531.97"/>
    <n v="38"/>
    <x v="0"/>
    <n v="4456.67"/>
    <n v="4642.46"/>
    <s v="New"/>
    <x v="18"/>
    <x v="1"/>
    <x v="0"/>
    <x v="9"/>
  </r>
  <r>
    <n v="1081"/>
    <x v="99"/>
    <x v="0"/>
    <x v="2"/>
    <n v="1429.32"/>
    <n v="44"/>
    <x v="1"/>
    <n v="618.79"/>
    <n v="938.04"/>
    <s v="Returning"/>
    <x v="21"/>
    <x v="0"/>
    <x v="0"/>
    <x v="3"/>
  </r>
  <r>
    <n v="1008"/>
    <x v="100"/>
    <x v="2"/>
    <x v="3"/>
    <n v="9583.5499999999993"/>
    <n v="27"/>
    <x v="3"/>
    <n v="68.989999999999995"/>
    <n v="429.29"/>
    <s v="Returning"/>
    <x v="13"/>
    <x v="2"/>
    <x v="1"/>
    <x v="4"/>
  </r>
  <r>
    <n v="1035"/>
    <x v="101"/>
    <x v="0"/>
    <x v="2"/>
    <n v="5343.63"/>
    <n v="9"/>
    <x v="2"/>
    <n v="2534.94"/>
    <n v="2755.56"/>
    <s v="Returning"/>
    <x v="9"/>
    <x v="2"/>
    <x v="1"/>
    <x v="3"/>
  </r>
  <r>
    <n v="1035"/>
    <x v="42"/>
    <x v="0"/>
    <x v="1"/>
    <n v="2494.7399999999998"/>
    <n v="47"/>
    <x v="3"/>
    <n v="2936.48"/>
    <n v="3096.64"/>
    <s v="New"/>
    <x v="18"/>
    <x v="1"/>
    <x v="0"/>
    <x v="1"/>
  </r>
  <r>
    <n v="1033"/>
    <x v="102"/>
    <x v="0"/>
    <x v="0"/>
    <n v="5055.9799999999996"/>
    <n v="16"/>
    <x v="0"/>
    <n v="2915.88"/>
    <n v="3397.36"/>
    <s v="New"/>
    <x v="2"/>
    <x v="1"/>
    <x v="1"/>
    <x v="0"/>
  </r>
  <r>
    <n v="1005"/>
    <x v="103"/>
    <x v="4"/>
    <x v="3"/>
    <n v="6828.24"/>
    <n v="12"/>
    <x v="3"/>
    <n v="319.83"/>
    <n v="802.43"/>
    <s v="New"/>
    <x v="14"/>
    <x v="2"/>
    <x v="1"/>
    <x v="18"/>
  </r>
  <r>
    <n v="1041"/>
    <x v="104"/>
    <x v="0"/>
    <x v="2"/>
    <n v="854.77"/>
    <n v="31"/>
    <x v="1"/>
    <n v="1604.52"/>
    <n v="1756.34"/>
    <s v="Returning"/>
    <x v="22"/>
    <x v="0"/>
    <x v="1"/>
    <x v="3"/>
  </r>
  <r>
    <n v="1028"/>
    <x v="5"/>
    <x v="4"/>
    <x v="3"/>
    <n v="2819.57"/>
    <n v="24"/>
    <x v="2"/>
    <n v="2521.0300000000002"/>
    <n v="2766.05"/>
    <s v="Returning"/>
    <x v="28"/>
    <x v="1"/>
    <x v="1"/>
    <x v="18"/>
  </r>
  <r>
    <n v="1007"/>
    <x v="103"/>
    <x v="1"/>
    <x v="3"/>
    <n v="8088.96"/>
    <n v="14"/>
    <x v="0"/>
    <n v="1122.07"/>
    <n v="1608.76"/>
    <s v="New"/>
    <x v="20"/>
    <x v="0"/>
    <x v="1"/>
    <x v="16"/>
  </r>
  <r>
    <n v="1073"/>
    <x v="87"/>
    <x v="2"/>
    <x v="2"/>
    <n v="4650.68"/>
    <n v="45"/>
    <x v="2"/>
    <n v="4369.5"/>
    <n v="4381.8900000000003"/>
    <s v="Returning"/>
    <x v="3"/>
    <x v="2"/>
    <x v="1"/>
    <x v="10"/>
  </r>
  <r>
    <n v="1072"/>
    <x v="90"/>
    <x v="4"/>
    <x v="3"/>
    <n v="5511.11"/>
    <n v="25"/>
    <x v="2"/>
    <n v="481.19"/>
    <n v="693.4"/>
    <s v="New"/>
    <x v="29"/>
    <x v="2"/>
    <x v="1"/>
    <x v="18"/>
  </r>
  <r>
    <n v="1012"/>
    <x v="105"/>
    <x v="1"/>
    <x v="0"/>
    <n v="4384.88"/>
    <n v="34"/>
    <x v="0"/>
    <n v="2462.5500000000002"/>
    <n v="2521.77"/>
    <s v="New"/>
    <x v="5"/>
    <x v="1"/>
    <x v="1"/>
    <x v="11"/>
  </r>
  <r>
    <n v="1034"/>
    <x v="106"/>
    <x v="4"/>
    <x v="1"/>
    <n v="534.61"/>
    <n v="3"/>
    <x v="2"/>
    <n v="3472.51"/>
    <n v="3732"/>
    <s v="New"/>
    <x v="18"/>
    <x v="0"/>
    <x v="0"/>
    <x v="17"/>
  </r>
  <r>
    <n v="1033"/>
    <x v="107"/>
    <x v="4"/>
    <x v="1"/>
    <n v="1740.92"/>
    <n v="24"/>
    <x v="2"/>
    <n v="1345.67"/>
    <n v="1367.76"/>
    <s v="New"/>
    <x v="18"/>
    <x v="1"/>
    <x v="0"/>
    <x v="17"/>
  </r>
  <r>
    <n v="1048"/>
    <x v="108"/>
    <x v="2"/>
    <x v="0"/>
    <n v="4510.8599999999997"/>
    <n v="42"/>
    <x v="3"/>
    <n v="3139.99"/>
    <n v="3349.37"/>
    <s v="Returning"/>
    <x v="9"/>
    <x v="2"/>
    <x v="1"/>
    <x v="19"/>
  </r>
  <r>
    <n v="1023"/>
    <x v="109"/>
    <x v="3"/>
    <x v="3"/>
    <n v="2170.94"/>
    <n v="9"/>
    <x v="2"/>
    <n v="4155.46"/>
    <n v="4273.6000000000004"/>
    <s v="Returning"/>
    <x v="26"/>
    <x v="0"/>
    <x v="1"/>
    <x v="14"/>
  </r>
  <r>
    <n v="1062"/>
    <x v="110"/>
    <x v="3"/>
    <x v="2"/>
    <n v="594.79"/>
    <n v="26"/>
    <x v="2"/>
    <n v="992.17"/>
    <n v="1263.49"/>
    <s v="Returning"/>
    <x v="26"/>
    <x v="1"/>
    <x v="1"/>
    <x v="6"/>
  </r>
  <r>
    <n v="1088"/>
    <x v="111"/>
    <x v="4"/>
    <x v="3"/>
    <n v="8452.1299999999992"/>
    <n v="20"/>
    <x v="2"/>
    <n v="4590.24"/>
    <n v="5088.28"/>
    <s v="New"/>
    <x v="28"/>
    <x v="1"/>
    <x v="1"/>
    <x v="18"/>
  </r>
  <r>
    <n v="1037"/>
    <x v="112"/>
    <x v="0"/>
    <x v="0"/>
    <n v="9813.81"/>
    <n v="40"/>
    <x v="2"/>
    <n v="2790.11"/>
    <n v="3192.37"/>
    <s v="Returning"/>
    <x v="16"/>
    <x v="1"/>
    <x v="0"/>
    <x v="0"/>
  </r>
  <r>
    <n v="1099"/>
    <x v="113"/>
    <x v="1"/>
    <x v="3"/>
    <n v="7952.11"/>
    <n v="10"/>
    <x v="0"/>
    <n v="1531.2"/>
    <n v="1955.56"/>
    <s v="New"/>
    <x v="11"/>
    <x v="2"/>
    <x v="0"/>
    <x v="16"/>
  </r>
  <r>
    <n v="1044"/>
    <x v="114"/>
    <x v="0"/>
    <x v="1"/>
    <n v="8552.4699999999993"/>
    <n v="19"/>
    <x v="1"/>
    <n v="2182.75"/>
    <n v="2504.0299999999902"/>
    <s v="New"/>
    <x v="30"/>
    <x v="1"/>
    <x v="0"/>
    <x v="1"/>
  </r>
  <r>
    <n v="1086"/>
    <x v="115"/>
    <x v="0"/>
    <x v="3"/>
    <n v="2495.5700000000002"/>
    <n v="3"/>
    <x v="3"/>
    <n v="1595.35"/>
    <n v="1625.70999999999"/>
    <s v="New"/>
    <x v="29"/>
    <x v="0"/>
    <x v="0"/>
    <x v="12"/>
  </r>
  <r>
    <n v="1091"/>
    <x v="116"/>
    <x v="4"/>
    <x v="0"/>
    <n v="9610.2099999999991"/>
    <n v="24"/>
    <x v="2"/>
    <n v="3639.3"/>
    <n v="3750.63"/>
    <s v="New"/>
    <x v="10"/>
    <x v="1"/>
    <x v="1"/>
    <x v="15"/>
  </r>
  <r>
    <n v="1035"/>
    <x v="53"/>
    <x v="4"/>
    <x v="1"/>
    <n v="2049.56"/>
    <n v="5"/>
    <x v="2"/>
    <n v="3991.69"/>
    <n v="4454.97"/>
    <s v="New"/>
    <x v="6"/>
    <x v="2"/>
    <x v="1"/>
    <x v="17"/>
  </r>
  <r>
    <n v="1065"/>
    <x v="117"/>
    <x v="4"/>
    <x v="3"/>
    <n v="9519.16"/>
    <n v="3"/>
    <x v="0"/>
    <n v="4173.04"/>
    <n v="4362.4399999999996"/>
    <s v="New"/>
    <x v="10"/>
    <x v="1"/>
    <x v="1"/>
    <x v="18"/>
  </r>
  <r>
    <n v="1099"/>
    <x v="106"/>
    <x v="4"/>
    <x v="3"/>
    <n v="9948.7099999999991"/>
    <n v="27"/>
    <x v="1"/>
    <n v="4929.55"/>
    <n v="4990.33"/>
    <s v="Returning"/>
    <x v="12"/>
    <x v="2"/>
    <x v="0"/>
    <x v="18"/>
  </r>
  <r>
    <n v="1047"/>
    <x v="106"/>
    <x v="3"/>
    <x v="1"/>
    <n v="7146.06"/>
    <n v="16"/>
    <x v="2"/>
    <n v="3966.86"/>
    <n v="4321.04"/>
    <s v="Returning"/>
    <x v="10"/>
    <x v="2"/>
    <x v="1"/>
    <x v="8"/>
  </r>
  <r>
    <n v="1078"/>
    <x v="118"/>
    <x v="4"/>
    <x v="2"/>
    <n v="9813.32"/>
    <n v="49"/>
    <x v="0"/>
    <n v="3026.85"/>
    <n v="3183.58"/>
    <s v="Returning"/>
    <x v="26"/>
    <x v="0"/>
    <x v="1"/>
    <x v="9"/>
  </r>
  <r>
    <n v="1003"/>
    <x v="18"/>
    <x v="3"/>
    <x v="1"/>
    <n v="5738.44"/>
    <n v="15"/>
    <x v="3"/>
    <n v="1729.14"/>
    <n v="1870.88"/>
    <s v="Returning"/>
    <x v="10"/>
    <x v="0"/>
    <x v="0"/>
    <x v="8"/>
  </r>
  <r>
    <n v="1001"/>
    <x v="39"/>
    <x v="3"/>
    <x v="2"/>
    <n v="2669.46"/>
    <n v="35"/>
    <x v="3"/>
    <n v="2745.75"/>
    <n v="3244.76"/>
    <s v="New"/>
    <x v="8"/>
    <x v="1"/>
    <x v="0"/>
    <x v="6"/>
  </r>
  <r>
    <n v="1005"/>
    <x v="119"/>
    <x v="4"/>
    <x v="0"/>
    <n v="4426.26"/>
    <n v="12"/>
    <x v="2"/>
    <n v="253.29"/>
    <n v="683.78"/>
    <s v="New"/>
    <x v="26"/>
    <x v="2"/>
    <x v="0"/>
    <x v="15"/>
  </r>
  <r>
    <n v="1090"/>
    <x v="109"/>
    <x v="2"/>
    <x v="0"/>
    <n v="5976.25"/>
    <n v="41"/>
    <x v="2"/>
    <n v="3736.88"/>
    <n v="3946.77"/>
    <s v="Returning"/>
    <x v="18"/>
    <x v="2"/>
    <x v="0"/>
    <x v="19"/>
  </r>
  <r>
    <n v="1014"/>
    <x v="5"/>
    <x v="1"/>
    <x v="1"/>
    <n v="823.51"/>
    <n v="44"/>
    <x v="1"/>
    <n v="2257.48"/>
    <n v="2747.81"/>
    <s v="Returning"/>
    <x v="29"/>
    <x v="0"/>
    <x v="0"/>
    <x v="13"/>
  </r>
  <r>
    <n v="1027"/>
    <x v="120"/>
    <x v="0"/>
    <x v="1"/>
    <n v="6261.2"/>
    <n v="26"/>
    <x v="1"/>
    <n v="149.11000000000001"/>
    <n v="477.67"/>
    <s v="Returning"/>
    <x v="6"/>
    <x v="0"/>
    <x v="1"/>
    <x v="1"/>
  </r>
  <r>
    <n v="1009"/>
    <x v="1"/>
    <x v="3"/>
    <x v="0"/>
    <n v="9813.66"/>
    <n v="47"/>
    <x v="2"/>
    <n v="359.41"/>
    <n v="733"/>
    <s v="Returning"/>
    <x v="2"/>
    <x v="1"/>
    <x v="1"/>
    <x v="7"/>
  </r>
  <r>
    <n v="1079"/>
    <x v="121"/>
    <x v="1"/>
    <x v="2"/>
    <n v="1982.07"/>
    <n v="34"/>
    <x v="0"/>
    <n v="1967.96"/>
    <n v="1993.4"/>
    <s v="Returning"/>
    <x v="25"/>
    <x v="2"/>
    <x v="0"/>
    <x v="2"/>
  </r>
  <r>
    <n v="1015"/>
    <x v="15"/>
    <x v="2"/>
    <x v="0"/>
    <n v="7946.69"/>
    <n v="23"/>
    <x v="1"/>
    <n v="2937.94"/>
    <n v="3007.53"/>
    <s v="Returning"/>
    <x v="21"/>
    <x v="0"/>
    <x v="1"/>
    <x v="19"/>
  </r>
  <r>
    <n v="1090"/>
    <x v="122"/>
    <x v="0"/>
    <x v="1"/>
    <n v="9088.2000000000007"/>
    <n v="31"/>
    <x v="2"/>
    <n v="2347.81"/>
    <n v="2668.02"/>
    <s v="Returning"/>
    <x v="0"/>
    <x v="1"/>
    <x v="1"/>
    <x v="1"/>
  </r>
  <r>
    <n v="1042"/>
    <x v="121"/>
    <x v="0"/>
    <x v="0"/>
    <n v="9442.65"/>
    <n v="20"/>
    <x v="1"/>
    <n v="3115.06"/>
    <n v="3565.58"/>
    <s v="Returning"/>
    <x v="23"/>
    <x v="2"/>
    <x v="1"/>
    <x v="0"/>
  </r>
  <r>
    <n v="1077"/>
    <x v="61"/>
    <x v="3"/>
    <x v="1"/>
    <n v="9605.34"/>
    <n v="12"/>
    <x v="2"/>
    <n v="2427.46"/>
    <n v="2743.09"/>
    <s v="New"/>
    <x v="12"/>
    <x v="2"/>
    <x v="1"/>
    <x v="8"/>
  </r>
  <r>
    <n v="1051"/>
    <x v="123"/>
    <x v="4"/>
    <x v="1"/>
    <n v="5262.45"/>
    <n v="23"/>
    <x v="3"/>
    <n v="3325.43"/>
    <n v="3401.1"/>
    <s v="New"/>
    <x v="15"/>
    <x v="0"/>
    <x v="0"/>
    <x v="17"/>
  </r>
  <r>
    <n v="1063"/>
    <x v="15"/>
    <x v="2"/>
    <x v="0"/>
    <n v="9775.35"/>
    <n v="4"/>
    <x v="2"/>
    <n v="1134.67"/>
    <n v="1201.3900000000001"/>
    <s v="New"/>
    <x v="23"/>
    <x v="1"/>
    <x v="1"/>
    <x v="19"/>
  </r>
  <r>
    <n v="1096"/>
    <x v="124"/>
    <x v="3"/>
    <x v="2"/>
    <n v="7597.37"/>
    <n v="23"/>
    <x v="3"/>
    <n v="608.57000000000005"/>
    <n v="1032.22"/>
    <s v="New"/>
    <x v="26"/>
    <x v="0"/>
    <x v="1"/>
    <x v="6"/>
  </r>
  <r>
    <n v="1052"/>
    <x v="125"/>
    <x v="2"/>
    <x v="3"/>
    <n v="1700.55"/>
    <n v="48"/>
    <x v="1"/>
    <n v="3002.35"/>
    <n v="3080.61"/>
    <s v="Returning"/>
    <x v="13"/>
    <x v="1"/>
    <x v="1"/>
    <x v="4"/>
  </r>
  <r>
    <n v="1096"/>
    <x v="126"/>
    <x v="4"/>
    <x v="0"/>
    <n v="4821.3100000000004"/>
    <n v="48"/>
    <x v="2"/>
    <n v="2449.21"/>
    <n v="2714.12"/>
    <s v="New"/>
    <x v="30"/>
    <x v="2"/>
    <x v="0"/>
    <x v="15"/>
  </r>
  <r>
    <n v="1004"/>
    <x v="35"/>
    <x v="4"/>
    <x v="3"/>
    <n v="7211.48"/>
    <n v="1"/>
    <x v="1"/>
    <n v="182.99"/>
    <n v="211.18"/>
    <s v="Returning"/>
    <x v="29"/>
    <x v="1"/>
    <x v="1"/>
    <x v="18"/>
  </r>
  <r>
    <n v="1094"/>
    <x v="69"/>
    <x v="3"/>
    <x v="0"/>
    <n v="2548.67"/>
    <n v="25"/>
    <x v="3"/>
    <n v="1933.39"/>
    <n v="1982.92"/>
    <s v="New"/>
    <x v="22"/>
    <x v="1"/>
    <x v="0"/>
    <x v="7"/>
  </r>
  <r>
    <n v="1023"/>
    <x v="99"/>
    <x v="4"/>
    <x v="3"/>
    <n v="6442.09"/>
    <n v="2"/>
    <x v="2"/>
    <n v="575.32000000000005"/>
    <n v="914.77"/>
    <s v="Returning"/>
    <x v="16"/>
    <x v="1"/>
    <x v="0"/>
    <x v="18"/>
  </r>
  <r>
    <n v="1015"/>
    <x v="127"/>
    <x v="1"/>
    <x v="2"/>
    <n v="6699.34"/>
    <n v="30"/>
    <x v="1"/>
    <n v="2680.22"/>
    <n v="3027.9199999999901"/>
    <s v="Returning"/>
    <x v="26"/>
    <x v="1"/>
    <x v="0"/>
    <x v="2"/>
  </r>
  <r>
    <n v="1043"/>
    <x v="128"/>
    <x v="0"/>
    <x v="2"/>
    <n v="1710.73"/>
    <n v="3"/>
    <x v="3"/>
    <n v="2009.1"/>
    <n v="2186.42"/>
    <s v="New"/>
    <x v="26"/>
    <x v="1"/>
    <x v="0"/>
    <x v="3"/>
  </r>
  <r>
    <n v="1029"/>
    <x v="111"/>
    <x v="3"/>
    <x v="0"/>
    <n v="5694.34"/>
    <n v="21"/>
    <x v="1"/>
    <n v="3085.1"/>
    <n v="3200.75"/>
    <s v="New"/>
    <x v="5"/>
    <x v="0"/>
    <x v="1"/>
    <x v="7"/>
  </r>
  <r>
    <n v="1036"/>
    <x v="40"/>
    <x v="2"/>
    <x v="1"/>
    <n v="7739.11"/>
    <n v="25"/>
    <x v="0"/>
    <n v="4037.73"/>
    <n v="4446.45"/>
    <s v="Returning"/>
    <x v="0"/>
    <x v="1"/>
    <x v="0"/>
    <x v="5"/>
  </r>
  <r>
    <n v="1013"/>
    <x v="129"/>
    <x v="1"/>
    <x v="3"/>
    <n v="5039.07"/>
    <n v="20"/>
    <x v="3"/>
    <n v="1533.36"/>
    <n v="1649.73999999999"/>
    <s v="Returning"/>
    <x v="15"/>
    <x v="1"/>
    <x v="0"/>
    <x v="16"/>
  </r>
  <r>
    <n v="1032"/>
    <x v="130"/>
    <x v="3"/>
    <x v="1"/>
    <n v="219.82"/>
    <n v="49"/>
    <x v="3"/>
    <n v="4812.41"/>
    <n v="5088"/>
    <s v="Returning"/>
    <x v="0"/>
    <x v="2"/>
    <x v="0"/>
    <x v="8"/>
  </r>
  <r>
    <n v="1071"/>
    <x v="131"/>
    <x v="4"/>
    <x v="1"/>
    <n v="189.48"/>
    <n v="22"/>
    <x v="3"/>
    <n v="2701.39"/>
    <n v="3185.81"/>
    <s v="New"/>
    <x v="30"/>
    <x v="1"/>
    <x v="0"/>
    <x v="17"/>
  </r>
  <r>
    <n v="1059"/>
    <x v="132"/>
    <x v="4"/>
    <x v="1"/>
    <n v="3634.59"/>
    <n v="21"/>
    <x v="2"/>
    <n v="3110.54"/>
    <n v="3192.99"/>
    <s v="New"/>
    <x v="22"/>
    <x v="2"/>
    <x v="0"/>
    <x v="17"/>
  </r>
  <r>
    <n v="1086"/>
    <x v="13"/>
    <x v="4"/>
    <x v="2"/>
    <n v="9269.32"/>
    <n v="33"/>
    <x v="2"/>
    <n v="3419.33"/>
    <n v="3890.3599999999901"/>
    <s v="Returning"/>
    <x v="5"/>
    <x v="0"/>
    <x v="1"/>
    <x v="9"/>
  </r>
  <r>
    <n v="1028"/>
    <x v="133"/>
    <x v="4"/>
    <x v="0"/>
    <n v="2363.9"/>
    <n v="38"/>
    <x v="2"/>
    <n v="3350.32"/>
    <n v="3449.94"/>
    <s v="New"/>
    <x v="16"/>
    <x v="0"/>
    <x v="0"/>
    <x v="15"/>
  </r>
  <r>
    <n v="1066"/>
    <x v="134"/>
    <x v="2"/>
    <x v="0"/>
    <n v="6380.2"/>
    <n v="15"/>
    <x v="0"/>
    <n v="2579.31"/>
    <n v="2867.36"/>
    <s v="Returning"/>
    <x v="14"/>
    <x v="1"/>
    <x v="1"/>
    <x v="19"/>
  </r>
  <r>
    <n v="1042"/>
    <x v="120"/>
    <x v="1"/>
    <x v="2"/>
    <n v="2298.5500000000002"/>
    <n v="46"/>
    <x v="0"/>
    <n v="2172.38"/>
    <n v="2367.11"/>
    <s v="New"/>
    <x v="28"/>
    <x v="0"/>
    <x v="1"/>
    <x v="2"/>
  </r>
  <r>
    <n v="1045"/>
    <x v="121"/>
    <x v="0"/>
    <x v="2"/>
    <n v="3284.53"/>
    <n v="15"/>
    <x v="3"/>
    <n v="316.22000000000003"/>
    <n v="799.04"/>
    <s v="New"/>
    <x v="11"/>
    <x v="1"/>
    <x v="0"/>
    <x v="3"/>
  </r>
  <r>
    <n v="1062"/>
    <x v="135"/>
    <x v="2"/>
    <x v="0"/>
    <n v="8495.6200000000008"/>
    <n v="46"/>
    <x v="0"/>
    <n v="159.32"/>
    <n v="303.36"/>
    <s v="New"/>
    <x v="21"/>
    <x v="0"/>
    <x v="1"/>
    <x v="19"/>
  </r>
  <r>
    <n v="1057"/>
    <x v="70"/>
    <x v="2"/>
    <x v="1"/>
    <n v="7315.73"/>
    <n v="25"/>
    <x v="1"/>
    <n v="1821.91"/>
    <n v="2027.74"/>
    <s v="New"/>
    <x v="3"/>
    <x v="1"/>
    <x v="1"/>
    <x v="5"/>
  </r>
  <r>
    <n v="1006"/>
    <x v="121"/>
    <x v="0"/>
    <x v="3"/>
    <n v="1044.45"/>
    <n v="21"/>
    <x v="3"/>
    <n v="1701.62"/>
    <n v="2193.2199999999998"/>
    <s v="New"/>
    <x v="20"/>
    <x v="1"/>
    <x v="1"/>
    <x v="12"/>
  </r>
  <r>
    <n v="1028"/>
    <x v="57"/>
    <x v="0"/>
    <x v="3"/>
    <n v="4344.1499999999996"/>
    <n v="24"/>
    <x v="3"/>
    <n v="1969.09"/>
    <n v="2241.96"/>
    <s v="Returning"/>
    <x v="3"/>
    <x v="2"/>
    <x v="0"/>
    <x v="12"/>
  </r>
  <r>
    <n v="1028"/>
    <x v="50"/>
    <x v="4"/>
    <x v="3"/>
    <n v="388.78"/>
    <n v="5"/>
    <x v="1"/>
    <n v="734.92"/>
    <n v="991.21"/>
    <s v="Returning"/>
    <x v="5"/>
    <x v="2"/>
    <x v="0"/>
    <x v="18"/>
  </r>
  <r>
    <n v="1044"/>
    <x v="136"/>
    <x v="2"/>
    <x v="1"/>
    <n v="4860.8100000000004"/>
    <n v="6"/>
    <x v="3"/>
    <n v="3703.93"/>
    <n v="3840.24"/>
    <s v="New"/>
    <x v="17"/>
    <x v="2"/>
    <x v="0"/>
    <x v="5"/>
  </r>
  <r>
    <n v="1084"/>
    <x v="46"/>
    <x v="3"/>
    <x v="0"/>
    <n v="6658.1"/>
    <n v="49"/>
    <x v="0"/>
    <n v="4291.97"/>
    <n v="4645.6400000000003"/>
    <s v="Returning"/>
    <x v="16"/>
    <x v="2"/>
    <x v="0"/>
    <x v="7"/>
  </r>
  <r>
    <n v="1030"/>
    <x v="75"/>
    <x v="0"/>
    <x v="2"/>
    <n v="1273.18"/>
    <n v="43"/>
    <x v="2"/>
    <n v="4696.6400000000003"/>
    <n v="4713.68"/>
    <s v="Returning"/>
    <x v="19"/>
    <x v="1"/>
    <x v="0"/>
    <x v="3"/>
  </r>
  <r>
    <n v="1062"/>
    <x v="25"/>
    <x v="0"/>
    <x v="0"/>
    <n v="2959.96"/>
    <n v="48"/>
    <x v="1"/>
    <n v="2487.19"/>
    <n v="2521.4499999999998"/>
    <s v="New"/>
    <x v="12"/>
    <x v="0"/>
    <x v="0"/>
    <x v="0"/>
  </r>
  <r>
    <n v="1075"/>
    <x v="137"/>
    <x v="1"/>
    <x v="1"/>
    <n v="4038.58"/>
    <n v="44"/>
    <x v="0"/>
    <n v="3519.29"/>
    <n v="3822.98"/>
    <s v="Returning"/>
    <x v="29"/>
    <x v="1"/>
    <x v="0"/>
    <x v="13"/>
  </r>
  <r>
    <n v="1092"/>
    <x v="30"/>
    <x v="3"/>
    <x v="2"/>
    <n v="9203.36"/>
    <n v="47"/>
    <x v="1"/>
    <n v="4284.9799999999996"/>
    <n v="4462.3999999999996"/>
    <s v="New"/>
    <x v="24"/>
    <x v="2"/>
    <x v="1"/>
    <x v="6"/>
  </r>
  <r>
    <n v="1089"/>
    <x v="138"/>
    <x v="3"/>
    <x v="1"/>
    <n v="9933.2199999999993"/>
    <n v="23"/>
    <x v="1"/>
    <n v="2120.54"/>
    <n v="2597.67"/>
    <s v="Returning"/>
    <x v="16"/>
    <x v="2"/>
    <x v="1"/>
    <x v="8"/>
  </r>
  <r>
    <n v="1062"/>
    <x v="9"/>
    <x v="0"/>
    <x v="3"/>
    <n v="544.62"/>
    <n v="4"/>
    <x v="3"/>
    <n v="1581.59"/>
    <n v="2034.1499999999901"/>
    <s v="Returning"/>
    <x v="5"/>
    <x v="0"/>
    <x v="0"/>
    <x v="12"/>
  </r>
  <r>
    <n v="1097"/>
    <x v="139"/>
    <x v="4"/>
    <x v="3"/>
    <n v="7633.98"/>
    <n v="27"/>
    <x v="3"/>
    <n v="4686.79"/>
    <n v="5046.51"/>
    <s v="Returning"/>
    <x v="8"/>
    <x v="2"/>
    <x v="1"/>
    <x v="18"/>
  </r>
  <r>
    <n v="1001"/>
    <x v="140"/>
    <x v="1"/>
    <x v="1"/>
    <n v="3780.07"/>
    <n v="18"/>
    <x v="0"/>
    <n v="2602.6"/>
    <n v="3013.49"/>
    <s v="Returning"/>
    <x v="4"/>
    <x v="1"/>
    <x v="0"/>
    <x v="13"/>
  </r>
  <r>
    <n v="1027"/>
    <x v="83"/>
    <x v="3"/>
    <x v="2"/>
    <n v="3985.34"/>
    <n v="21"/>
    <x v="1"/>
    <n v="2511.41"/>
    <n v="2848.3999999999901"/>
    <s v="Returning"/>
    <x v="18"/>
    <x v="1"/>
    <x v="0"/>
    <x v="6"/>
  </r>
  <r>
    <n v="1062"/>
    <x v="141"/>
    <x v="0"/>
    <x v="2"/>
    <n v="7567.22"/>
    <n v="28"/>
    <x v="3"/>
    <n v="933.16"/>
    <n v="1004.69999999999"/>
    <s v="Returning"/>
    <x v="13"/>
    <x v="1"/>
    <x v="0"/>
    <x v="3"/>
  </r>
  <r>
    <n v="1077"/>
    <x v="142"/>
    <x v="3"/>
    <x v="0"/>
    <n v="9192.42"/>
    <n v="35"/>
    <x v="3"/>
    <n v="585.37"/>
    <n v="970.49"/>
    <s v="Returning"/>
    <x v="25"/>
    <x v="1"/>
    <x v="1"/>
    <x v="7"/>
  </r>
  <r>
    <n v="1003"/>
    <x v="124"/>
    <x v="1"/>
    <x v="3"/>
    <n v="9514.19"/>
    <n v="22"/>
    <x v="1"/>
    <n v="4218.43"/>
    <n v="4331.42"/>
    <s v="New"/>
    <x v="16"/>
    <x v="1"/>
    <x v="0"/>
    <x v="16"/>
  </r>
  <r>
    <n v="1070"/>
    <x v="128"/>
    <x v="1"/>
    <x v="0"/>
    <n v="5813.51"/>
    <n v="40"/>
    <x v="0"/>
    <n v="3089.96"/>
    <n v="3258.45"/>
    <s v="New"/>
    <x v="12"/>
    <x v="0"/>
    <x v="0"/>
    <x v="11"/>
  </r>
  <r>
    <n v="1072"/>
    <x v="143"/>
    <x v="2"/>
    <x v="0"/>
    <n v="3635.5"/>
    <n v="23"/>
    <x v="0"/>
    <n v="1662.83"/>
    <n v="2074.25"/>
    <s v="New"/>
    <x v="7"/>
    <x v="1"/>
    <x v="0"/>
    <x v="19"/>
  </r>
  <r>
    <n v="1027"/>
    <x v="61"/>
    <x v="0"/>
    <x v="1"/>
    <n v="7896.74"/>
    <n v="3"/>
    <x v="1"/>
    <n v="999.09"/>
    <n v="1271.99"/>
    <s v="New"/>
    <x v="25"/>
    <x v="2"/>
    <x v="0"/>
    <x v="1"/>
  </r>
  <r>
    <n v="1009"/>
    <x v="39"/>
    <x v="1"/>
    <x v="1"/>
    <n v="2584.91"/>
    <n v="40"/>
    <x v="0"/>
    <n v="2799.71"/>
    <n v="3231.08"/>
    <s v="Returning"/>
    <x v="12"/>
    <x v="2"/>
    <x v="1"/>
    <x v="13"/>
  </r>
  <r>
    <n v="1062"/>
    <x v="144"/>
    <x v="2"/>
    <x v="0"/>
    <n v="5684.33"/>
    <n v="10"/>
    <x v="3"/>
    <n v="2940.4"/>
    <n v="3054.79"/>
    <s v="Returning"/>
    <x v="4"/>
    <x v="2"/>
    <x v="0"/>
    <x v="19"/>
  </r>
  <r>
    <n v="1037"/>
    <x v="112"/>
    <x v="2"/>
    <x v="3"/>
    <n v="3649.93"/>
    <n v="25"/>
    <x v="1"/>
    <n v="1074.6199999999999"/>
    <n v="1382.4299999999901"/>
    <s v="Returning"/>
    <x v="19"/>
    <x v="2"/>
    <x v="1"/>
    <x v="4"/>
  </r>
  <r>
    <n v="1097"/>
    <x v="131"/>
    <x v="3"/>
    <x v="1"/>
    <n v="6600.65"/>
    <n v="49"/>
    <x v="3"/>
    <n v="4264.46"/>
    <n v="4315.5200000000004"/>
    <s v="New"/>
    <x v="17"/>
    <x v="0"/>
    <x v="1"/>
    <x v="8"/>
  </r>
  <r>
    <n v="1051"/>
    <x v="145"/>
    <x v="3"/>
    <x v="0"/>
    <n v="2479.9499999999998"/>
    <n v="8"/>
    <x v="2"/>
    <n v="467.11"/>
    <n v="792.21"/>
    <s v="New"/>
    <x v="2"/>
    <x v="2"/>
    <x v="0"/>
    <x v="7"/>
  </r>
  <r>
    <n v="1044"/>
    <x v="146"/>
    <x v="2"/>
    <x v="0"/>
    <n v="1996.77"/>
    <n v="11"/>
    <x v="2"/>
    <n v="1812.66"/>
    <n v="2196.3000000000002"/>
    <s v="New"/>
    <x v="4"/>
    <x v="0"/>
    <x v="0"/>
    <x v="19"/>
  </r>
  <r>
    <n v="1024"/>
    <x v="147"/>
    <x v="3"/>
    <x v="0"/>
    <n v="9190.57"/>
    <n v="5"/>
    <x v="0"/>
    <n v="3417.9"/>
    <n v="3714.52"/>
    <s v="Returning"/>
    <x v="29"/>
    <x v="2"/>
    <x v="1"/>
    <x v="7"/>
  </r>
  <r>
    <n v="1079"/>
    <x v="148"/>
    <x v="1"/>
    <x v="0"/>
    <n v="1107.8599999999999"/>
    <n v="45"/>
    <x v="2"/>
    <n v="1406.9"/>
    <n v="1547.35"/>
    <s v="New"/>
    <x v="22"/>
    <x v="0"/>
    <x v="1"/>
    <x v="11"/>
  </r>
  <r>
    <n v="1059"/>
    <x v="149"/>
    <x v="4"/>
    <x v="0"/>
    <n v="5108.9799999999996"/>
    <n v="37"/>
    <x v="3"/>
    <n v="4146.99"/>
    <n v="4172.3499999999904"/>
    <s v="Returning"/>
    <x v="18"/>
    <x v="0"/>
    <x v="1"/>
    <x v="15"/>
  </r>
  <r>
    <n v="1032"/>
    <x v="106"/>
    <x v="1"/>
    <x v="0"/>
    <n v="2286.44"/>
    <n v="45"/>
    <x v="2"/>
    <n v="3712.35"/>
    <n v="3780.88"/>
    <s v="New"/>
    <x v="17"/>
    <x v="0"/>
    <x v="1"/>
    <x v="11"/>
  </r>
  <r>
    <n v="1096"/>
    <x v="150"/>
    <x v="2"/>
    <x v="1"/>
    <n v="485.41"/>
    <n v="38"/>
    <x v="3"/>
    <n v="3955.66"/>
    <n v="4270.59"/>
    <s v="Returning"/>
    <x v="25"/>
    <x v="2"/>
    <x v="0"/>
    <x v="5"/>
  </r>
  <r>
    <n v="1088"/>
    <x v="1"/>
    <x v="2"/>
    <x v="3"/>
    <n v="456.59"/>
    <n v="29"/>
    <x v="0"/>
    <n v="639.58000000000004"/>
    <n v="1107.45"/>
    <s v="New"/>
    <x v="12"/>
    <x v="0"/>
    <x v="1"/>
    <x v="4"/>
  </r>
  <r>
    <n v="1052"/>
    <x v="106"/>
    <x v="1"/>
    <x v="0"/>
    <n v="1834.7"/>
    <n v="5"/>
    <x v="0"/>
    <n v="745.71"/>
    <n v="856.91"/>
    <s v="Returning"/>
    <x v="10"/>
    <x v="1"/>
    <x v="1"/>
    <x v="11"/>
  </r>
  <r>
    <n v="1062"/>
    <x v="94"/>
    <x v="3"/>
    <x v="2"/>
    <n v="8681.0300000000007"/>
    <n v="9"/>
    <x v="3"/>
    <n v="1468.05"/>
    <n v="1838.21"/>
    <s v="New"/>
    <x v="25"/>
    <x v="1"/>
    <x v="1"/>
    <x v="6"/>
  </r>
  <r>
    <n v="1058"/>
    <x v="151"/>
    <x v="3"/>
    <x v="1"/>
    <n v="2896.54"/>
    <n v="48"/>
    <x v="2"/>
    <n v="2614.48"/>
    <n v="3049.04"/>
    <s v="New"/>
    <x v="15"/>
    <x v="2"/>
    <x v="1"/>
    <x v="8"/>
  </r>
  <r>
    <n v="1052"/>
    <x v="64"/>
    <x v="2"/>
    <x v="1"/>
    <n v="9509.5499999999993"/>
    <n v="2"/>
    <x v="0"/>
    <n v="3752.68"/>
    <n v="4017.91"/>
    <s v="Returning"/>
    <x v="28"/>
    <x v="1"/>
    <x v="0"/>
    <x v="5"/>
  </r>
  <r>
    <n v="1012"/>
    <x v="50"/>
    <x v="0"/>
    <x v="0"/>
    <n v="5858.06"/>
    <n v="1"/>
    <x v="1"/>
    <n v="4190.83"/>
    <n v="4528.7699999999904"/>
    <s v="Returning"/>
    <x v="20"/>
    <x v="1"/>
    <x v="0"/>
    <x v="0"/>
  </r>
  <r>
    <n v="1039"/>
    <x v="48"/>
    <x v="3"/>
    <x v="1"/>
    <n v="4422.4799999999996"/>
    <n v="40"/>
    <x v="0"/>
    <n v="3536.46"/>
    <n v="3945.82"/>
    <s v="New"/>
    <x v="19"/>
    <x v="1"/>
    <x v="0"/>
    <x v="8"/>
  </r>
  <r>
    <n v="1002"/>
    <x v="62"/>
    <x v="1"/>
    <x v="0"/>
    <n v="5842.88"/>
    <n v="30"/>
    <x v="2"/>
    <n v="4646.55"/>
    <n v="4784.28"/>
    <s v="Returning"/>
    <x v="15"/>
    <x v="2"/>
    <x v="1"/>
    <x v="11"/>
  </r>
  <r>
    <n v="1003"/>
    <x v="90"/>
    <x v="3"/>
    <x v="3"/>
    <n v="5215.3100000000004"/>
    <n v="11"/>
    <x v="1"/>
    <n v="3706.78"/>
    <n v="3862.26"/>
    <s v="New"/>
    <x v="20"/>
    <x v="2"/>
    <x v="1"/>
    <x v="14"/>
  </r>
  <r>
    <n v="1056"/>
    <x v="152"/>
    <x v="1"/>
    <x v="3"/>
    <n v="7611.88"/>
    <n v="28"/>
    <x v="2"/>
    <n v="1566.03"/>
    <n v="1576.34"/>
    <s v="Returning"/>
    <x v="2"/>
    <x v="1"/>
    <x v="0"/>
    <x v="16"/>
  </r>
  <r>
    <n v="1081"/>
    <x v="153"/>
    <x v="2"/>
    <x v="1"/>
    <n v="2896.71"/>
    <n v="44"/>
    <x v="3"/>
    <n v="1362.15"/>
    <n v="1844.07"/>
    <s v="New"/>
    <x v="12"/>
    <x v="2"/>
    <x v="0"/>
    <x v="5"/>
  </r>
  <r>
    <n v="1059"/>
    <x v="154"/>
    <x v="3"/>
    <x v="1"/>
    <n v="3595.2"/>
    <n v="12"/>
    <x v="1"/>
    <n v="3496.15"/>
    <n v="3955.75"/>
    <s v="Returning"/>
    <x v="24"/>
    <x v="0"/>
    <x v="1"/>
    <x v="8"/>
  </r>
  <r>
    <n v="1002"/>
    <x v="155"/>
    <x v="1"/>
    <x v="2"/>
    <n v="8951.5300000000007"/>
    <n v="39"/>
    <x v="2"/>
    <n v="1004.71"/>
    <n v="1389.35"/>
    <s v="New"/>
    <x v="19"/>
    <x v="1"/>
    <x v="0"/>
    <x v="2"/>
  </r>
  <r>
    <n v="1002"/>
    <x v="156"/>
    <x v="2"/>
    <x v="1"/>
    <n v="9469.92"/>
    <n v="26"/>
    <x v="1"/>
    <n v="508.94"/>
    <n v="557.69000000000005"/>
    <s v="New"/>
    <x v="20"/>
    <x v="2"/>
    <x v="1"/>
    <x v="5"/>
  </r>
  <r>
    <n v="1092"/>
    <x v="157"/>
    <x v="0"/>
    <x v="2"/>
    <n v="8936.33"/>
    <n v="13"/>
    <x v="2"/>
    <n v="2684.5"/>
    <n v="2913.78"/>
    <s v="New"/>
    <x v="4"/>
    <x v="2"/>
    <x v="1"/>
    <x v="3"/>
  </r>
  <r>
    <n v="1054"/>
    <x v="87"/>
    <x v="1"/>
    <x v="3"/>
    <n v="4252.54"/>
    <n v="8"/>
    <x v="1"/>
    <n v="4117.13"/>
    <n v="4177.0600000000004"/>
    <s v="Returning"/>
    <x v="26"/>
    <x v="1"/>
    <x v="1"/>
    <x v="16"/>
  </r>
  <r>
    <n v="1087"/>
    <x v="158"/>
    <x v="0"/>
    <x v="3"/>
    <n v="7825.62"/>
    <n v="28"/>
    <x v="2"/>
    <n v="551.83000000000004"/>
    <n v="569.63"/>
    <s v="New"/>
    <x v="9"/>
    <x v="2"/>
    <x v="1"/>
    <x v="12"/>
  </r>
  <r>
    <n v="1096"/>
    <x v="159"/>
    <x v="0"/>
    <x v="0"/>
    <n v="4815.72"/>
    <n v="30"/>
    <x v="3"/>
    <n v="3969.86"/>
    <n v="4281.79"/>
    <s v="Returning"/>
    <x v="4"/>
    <x v="1"/>
    <x v="1"/>
    <x v="0"/>
  </r>
  <r>
    <n v="1097"/>
    <x v="91"/>
    <x v="4"/>
    <x v="3"/>
    <n v="5025.6400000000003"/>
    <n v="9"/>
    <x v="1"/>
    <n v="4067.28"/>
    <n v="4548.09"/>
    <s v="Returning"/>
    <x v="7"/>
    <x v="2"/>
    <x v="1"/>
    <x v="18"/>
  </r>
  <r>
    <n v="1001"/>
    <x v="160"/>
    <x v="3"/>
    <x v="2"/>
    <n v="2126.33"/>
    <n v="39"/>
    <x v="1"/>
    <n v="2437.2600000000002"/>
    <n v="2889.67"/>
    <s v="Returning"/>
    <x v="26"/>
    <x v="0"/>
    <x v="0"/>
    <x v="6"/>
  </r>
  <r>
    <n v="1019"/>
    <x v="146"/>
    <x v="1"/>
    <x v="1"/>
    <n v="5952.19"/>
    <n v="31"/>
    <x v="1"/>
    <n v="333.69"/>
    <n v="685.1"/>
    <s v="New"/>
    <x v="14"/>
    <x v="1"/>
    <x v="0"/>
    <x v="13"/>
  </r>
  <r>
    <n v="1002"/>
    <x v="6"/>
    <x v="0"/>
    <x v="0"/>
    <n v="1942.75"/>
    <n v="21"/>
    <x v="1"/>
    <n v="914.22"/>
    <n v="971.57"/>
    <s v="Returning"/>
    <x v="6"/>
    <x v="0"/>
    <x v="0"/>
    <x v="0"/>
  </r>
  <r>
    <n v="1053"/>
    <x v="145"/>
    <x v="4"/>
    <x v="2"/>
    <n v="3382.49"/>
    <n v="47"/>
    <x v="3"/>
    <n v="3551.76"/>
    <n v="3696.1"/>
    <s v="Returning"/>
    <x v="25"/>
    <x v="1"/>
    <x v="1"/>
    <x v="9"/>
  </r>
  <r>
    <n v="1044"/>
    <x v="161"/>
    <x v="2"/>
    <x v="1"/>
    <n v="8564.7999999999993"/>
    <n v="34"/>
    <x v="1"/>
    <n v="3573.3"/>
    <n v="3740.13"/>
    <s v="Returning"/>
    <x v="30"/>
    <x v="2"/>
    <x v="0"/>
    <x v="5"/>
  </r>
  <r>
    <n v="1090"/>
    <x v="162"/>
    <x v="1"/>
    <x v="0"/>
    <n v="2150.0500000000002"/>
    <n v="31"/>
    <x v="0"/>
    <n v="4496.8599999999997"/>
    <n v="4880.7999999999902"/>
    <s v="New"/>
    <x v="18"/>
    <x v="0"/>
    <x v="1"/>
    <x v="11"/>
  </r>
  <r>
    <n v="1032"/>
    <x v="163"/>
    <x v="0"/>
    <x v="3"/>
    <n v="804.47"/>
    <n v="25"/>
    <x v="3"/>
    <n v="2934.3"/>
    <n v="3337.4"/>
    <s v="Returning"/>
    <x v="26"/>
    <x v="2"/>
    <x v="1"/>
    <x v="12"/>
  </r>
  <r>
    <n v="1070"/>
    <x v="58"/>
    <x v="3"/>
    <x v="2"/>
    <n v="783.18"/>
    <n v="12"/>
    <x v="0"/>
    <n v="664.33"/>
    <n v="863.03"/>
    <s v="Returning"/>
    <x v="26"/>
    <x v="1"/>
    <x v="1"/>
    <x v="6"/>
  </r>
  <r>
    <n v="1032"/>
    <x v="78"/>
    <x v="4"/>
    <x v="1"/>
    <n v="9413.77"/>
    <n v="1"/>
    <x v="1"/>
    <n v="651"/>
    <n v="865.76"/>
    <s v="Returning"/>
    <x v="0"/>
    <x v="1"/>
    <x v="1"/>
    <x v="17"/>
  </r>
  <r>
    <n v="1068"/>
    <x v="164"/>
    <x v="0"/>
    <x v="0"/>
    <n v="5118.51"/>
    <n v="22"/>
    <x v="2"/>
    <n v="3619.61"/>
    <n v="3651.42"/>
    <s v="Returning"/>
    <x v="16"/>
    <x v="1"/>
    <x v="0"/>
    <x v="0"/>
  </r>
  <r>
    <n v="1055"/>
    <x v="165"/>
    <x v="3"/>
    <x v="0"/>
    <n v="4153.18"/>
    <n v="40"/>
    <x v="0"/>
    <n v="959.73"/>
    <n v="1111.4100000000001"/>
    <s v="New"/>
    <x v="10"/>
    <x v="1"/>
    <x v="0"/>
    <x v="7"/>
  </r>
  <r>
    <n v="1075"/>
    <x v="117"/>
    <x v="0"/>
    <x v="3"/>
    <n v="8127.7"/>
    <n v="37"/>
    <x v="1"/>
    <n v="1675.51"/>
    <n v="1906.6399999999901"/>
    <s v="New"/>
    <x v="9"/>
    <x v="1"/>
    <x v="0"/>
    <x v="12"/>
  </r>
  <r>
    <n v="1056"/>
    <x v="28"/>
    <x v="1"/>
    <x v="1"/>
    <n v="8374.68"/>
    <n v="47"/>
    <x v="0"/>
    <n v="2461.6999999999998"/>
    <n v="2529.02"/>
    <s v="Returning"/>
    <x v="20"/>
    <x v="0"/>
    <x v="1"/>
    <x v="13"/>
  </r>
  <r>
    <n v="1017"/>
    <x v="166"/>
    <x v="1"/>
    <x v="3"/>
    <n v="3388.69"/>
    <n v="1"/>
    <x v="1"/>
    <n v="172.59"/>
    <n v="404.69"/>
    <s v="Returning"/>
    <x v="12"/>
    <x v="1"/>
    <x v="0"/>
    <x v="16"/>
  </r>
  <r>
    <n v="1038"/>
    <x v="163"/>
    <x v="1"/>
    <x v="3"/>
    <n v="6966.82"/>
    <n v="1"/>
    <x v="1"/>
    <n v="1281.6500000000001"/>
    <n v="1709.71"/>
    <s v="Returning"/>
    <x v="6"/>
    <x v="2"/>
    <x v="0"/>
    <x v="16"/>
  </r>
  <r>
    <n v="1024"/>
    <x v="167"/>
    <x v="4"/>
    <x v="1"/>
    <n v="7734.12"/>
    <n v="42"/>
    <x v="1"/>
    <n v="2069.0500000000002"/>
    <n v="2363.9"/>
    <s v="Returning"/>
    <x v="17"/>
    <x v="0"/>
    <x v="0"/>
    <x v="17"/>
  </r>
  <r>
    <n v="1069"/>
    <x v="168"/>
    <x v="1"/>
    <x v="1"/>
    <n v="6581.04"/>
    <n v="42"/>
    <x v="2"/>
    <n v="1434.2"/>
    <n v="1482.88"/>
    <s v="New"/>
    <x v="24"/>
    <x v="2"/>
    <x v="1"/>
    <x v="13"/>
  </r>
  <r>
    <n v="1098"/>
    <x v="96"/>
    <x v="3"/>
    <x v="1"/>
    <n v="1600.79"/>
    <n v="21"/>
    <x v="0"/>
    <n v="725.03"/>
    <n v="828.94999999999902"/>
    <s v="New"/>
    <x v="13"/>
    <x v="1"/>
    <x v="0"/>
    <x v="8"/>
  </r>
  <r>
    <n v="1070"/>
    <x v="113"/>
    <x v="0"/>
    <x v="2"/>
    <n v="8771.24"/>
    <n v="15"/>
    <x v="3"/>
    <n v="3653.66"/>
    <n v="3896.19"/>
    <s v="New"/>
    <x v="21"/>
    <x v="2"/>
    <x v="1"/>
    <x v="3"/>
  </r>
  <r>
    <n v="1086"/>
    <x v="169"/>
    <x v="2"/>
    <x v="1"/>
    <n v="5437.04"/>
    <n v="17"/>
    <x v="3"/>
    <n v="4075.08"/>
    <n v="4262.21"/>
    <s v="New"/>
    <x v="22"/>
    <x v="0"/>
    <x v="0"/>
    <x v="5"/>
  </r>
  <r>
    <n v="1011"/>
    <x v="170"/>
    <x v="3"/>
    <x v="0"/>
    <n v="2896.48"/>
    <n v="22"/>
    <x v="3"/>
    <n v="1324.52"/>
    <n v="1510.3"/>
    <s v="Returning"/>
    <x v="25"/>
    <x v="0"/>
    <x v="1"/>
    <x v="7"/>
  </r>
  <r>
    <n v="1016"/>
    <x v="59"/>
    <x v="3"/>
    <x v="3"/>
    <n v="4309.76"/>
    <n v="38"/>
    <x v="3"/>
    <n v="3883.38"/>
    <n v="4152.72"/>
    <s v="Returning"/>
    <x v="16"/>
    <x v="0"/>
    <x v="0"/>
    <x v="14"/>
  </r>
  <r>
    <n v="1097"/>
    <x v="37"/>
    <x v="1"/>
    <x v="2"/>
    <n v="471.95"/>
    <n v="35"/>
    <x v="1"/>
    <n v="1958.49"/>
    <n v="2254.84"/>
    <s v="New"/>
    <x v="28"/>
    <x v="2"/>
    <x v="0"/>
    <x v="2"/>
  </r>
  <r>
    <n v="1073"/>
    <x v="129"/>
    <x v="4"/>
    <x v="1"/>
    <n v="1365.88"/>
    <n v="45"/>
    <x v="0"/>
    <n v="2558.09"/>
    <n v="2958.55"/>
    <s v="New"/>
    <x v="4"/>
    <x v="0"/>
    <x v="0"/>
    <x v="17"/>
  </r>
  <r>
    <n v="1059"/>
    <x v="150"/>
    <x v="0"/>
    <x v="2"/>
    <n v="7678.91"/>
    <n v="16"/>
    <x v="0"/>
    <n v="4287.21"/>
    <n v="4464.28"/>
    <s v="Returning"/>
    <x v="2"/>
    <x v="2"/>
    <x v="1"/>
    <x v="3"/>
  </r>
  <r>
    <n v="1070"/>
    <x v="171"/>
    <x v="4"/>
    <x v="1"/>
    <n v="100.12"/>
    <n v="8"/>
    <x v="2"/>
    <n v="3762.27"/>
    <n v="4166.95"/>
    <s v="Returning"/>
    <x v="28"/>
    <x v="1"/>
    <x v="0"/>
    <x v="17"/>
  </r>
  <r>
    <n v="1080"/>
    <x v="172"/>
    <x v="0"/>
    <x v="2"/>
    <n v="4224"/>
    <n v="47"/>
    <x v="0"/>
    <n v="4035.33"/>
    <n v="4211.25"/>
    <s v="Returning"/>
    <x v="17"/>
    <x v="1"/>
    <x v="0"/>
    <x v="3"/>
  </r>
  <r>
    <n v="1093"/>
    <x v="173"/>
    <x v="0"/>
    <x v="3"/>
    <n v="5272.85"/>
    <n v="17"/>
    <x v="0"/>
    <n v="727.38"/>
    <n v="764.54"/>
    <s v="Returning"/>
    <x v="22"/>
    <x v="2"/>
    <x v="1"/>
    <x v="12"/>
  </r>
  <r>
    <n v="1003"/>
    <x v="174"/>
    <x v="4"/>
    <x v="3"/>
    <n v="640.88"/>
    <n v="17"/>
    <x v="0"/>
    <n v="395.11"/>
    <n v="676.66"/>
    <s v="Returning"/>
    <x v="26"/>
    <x v="0"/>
    <x v="1"/>
    <x v="18"/>
  </r>
  <r>
    <n v="1020"/>
    <x v="175"/>
    <x v="3"/>
    <x v="0"/>
    <n v="9733.4699999999993"/>
    <n v="26"/>
    <x v="2"/>
    <n v="4472.3500000000004"/>
    <n v="4770.42"/>
    <s v="New"/>
    <x v="30"/>
    <x v="2"/>
    <x v="1"/>
    <x v="7"/>
  </r>
  <r>
    <n v="1059"/>
    <x v="109"/>
    <x v="0"/>
    <x v="0"/>
    <n v="2338.64"/>
    <n v="13"/>
    <x v="3"/>
    <n v="1969.78"/>
    <n v="2437.6999999999998"/>
    <s v="New"/>
    <x v="27"/>
    <x v="2"/>
    <x v="1"/>
    <x v="0"/>
  </r>
  <r>
    <n v="1036"/>
    <x v="162"/>
    <x v="4"/>
    <x v="1"/>
    <n v="3111.57"/>
    <n v="17"/>
    <x v="0"/>
    <n v="1475"/>
    <n v="1840.77"/>
    <s v="Returning"/>
    <x v="15"/>
    <x v="2"/>
    <x v="0"/>
    <x v="17"/>
  </r>
  <r>
    <n v="1019"/>
    <x v="26"/>
    <x v="0"/>
    <x v="3"/>
    <n v="3109.03"/>
    <n v="38"/>
    <x v="2"/>
    <n v="3637.25"/>
    <n v="4096.96"/>
    <s v="Returning"/>
    <x v="0"/>
    <x v="1"/>
    <x v="0"/>
    <x v="12"/>
  </r>
  <r>
    <n v="1090"/>
    <x v="170"/>
    <x v="2"/>
    <x v="2"/>
    <n v="2381.12"/>
    <n v="17"/>
    <x v="2"/>
    <n v="4190.26"/>
    <n v="4645.3500000000004"/>
    <s v="New"/>
    <x v="7"/>
    <x v="2"/>
    <x v="1"/>
    <x v="10"/>
  </r>
  <r>
    <n v="1067"/>
    <x v="8"/>
    <x v="3"/>
    <x v="2"/>
    <n v="114.59"/>
    <n v="48"/>
    <x v="1"/>
    <n v="4319.32"/>
    <n v="4625.5599999999904"/>
    <s v="Returning"/>
    <x v="15"/>
    <x v="1"/>
    <x v="0"/>
    <x v="6"/>
  </r>
  <r>
    <n v="1019"/>
    <x v="18"/>
    <x v="1"/>
    <x v="2"/>
    <n v="7320.51"/>
    <n v="14"/>
    <x v="2"/>
    <n v="1614.19"/>
    <n v="1882.79"/>
    <s v="New"/>
    <x v="26"/>
    <x v="2"/>
    <x v="1"/>
    <x v="2"/>
  </r>
  <r>
    <n v="1020"/>
    <x v="176"/>
    <x v="0"/>
    <x v="0"/>
    <n v="9671.77"/>
    <n v="45"/>
    <x v="3"/>
    <n v="4268.45"/>
    <n v="4551.5999999999904"/>
    <s v="New"/>
    <x v="4"/>
    <x v="1"/>
    <x v="0"/>
    <x v="0"/>
  </r>
  <r>
    <n v="1096"/>
    <x v="67"/>
    <x v="2"/>
    <x v="2"/>
    <n v="2320.5100000000002"/>
    <n v="6"/>
    <x v="0"/>
    <n v="252.62"/>
    <n v="742"/>
    <s v="New"/>
    <x v="20"/>
    <x v="2"/>
    <x v="1"/>
    <x v="10"/>
  </r>
  <r>
    <n v="1071"/>
    <x v="177"/>
    <x v="1"/>
    <x v="0"/>
    <n v="6664.17"/>
    <n v="35"/>
    <x v="2"/>
    <n v="295.82"/>
    <n v="684.67"/>
    <s v="New"/>
    <x v="21"/>
    <x v="2"/>
    <x v="0"/>
    <x v="11"/>
  </r>
  <r>
    <n v="1052"/>
    <x v="178"/>
    <x v="1"/>
    <x v="0"/>
    <n v="7444.77"/>
    <n v="46"/>
    <x v="3"/>
    <n v="3136.42"/>
    <n v="3198.49"/>
    <s v="Returning"/>
    <x v="12"/>
    <x v="0"/>
    <x v="1"/>
    <x v="11"/>
  </r>
  <r>
    <n v="1033"/>
    <x v="113"/>
    <x v="0"/>
    <x v="1"/>
    <n v="8499.41"/>
    <n v="14"/>
    <x v="2"/>
    <n v="362.38"/>
    <n v="753.81"/>
    <s v="Returning"/>
    <x v="27"/>
    <x v="0"/>
    <x v="1"/>
    <x v="1"/>
  </r>
  <r>
    <n v="1040"/>
    <x v="16"/>
    <x v="4"/>
    <x v="2"/>
    <n v="4284.03"/>
    <n v="47"/>
    <x v="2"/>
    <n v="1656.82"/>
    <n v="1750.3799999999901"/>
    <s v="New"/>
    <x v="5"/>
    <x v="2"/>
    <x v="0"/>
    <x v="9"/>
  </r>
  <r>
    <n v="1039"/>
    <x v="168"/>
    <x v="0"/>
    <x v="2"/>
    <n v="3099.02"/>
    <n v="8"/>
    <x v="2"/>
    <n v="3380.14"/>
    <n v="3609.3399999999901"/>
    <s v="Returning"/>
    <x v="0"/>
    <x v="2"/>
    <x v="0"/>
    <x v="3"/>
  </r>
  <r>
    <n v="1082"/>
    <x v="179"/>
    <x v="2"/>
    <x v="3"/>
    <n v="3320.42"/>
    <n v="15"/>
    <x v="2"/>
    <n v="1719.47"/>
    <n v="1832.6"/>
    <s v="Returning"/>
    <x v="7"/>
    <x v="2"/>
    <x v="0"/>
    <x v="4"/>
  </r>
  <r>
    <n v="1001"/>
    <x v="180"/>
    <x v="1"/>
    <x v="1"/>
    <n v="7154.95"/>
    <n v="27"/>
    <x v="2"/>
    <n v="939.02"/>
    <n v="1286.92"/>
    <s v="Returning"/>
    <x v="17"/>
    <x v="2"/>
    <x v="1"/>
    <x v="13"/>
  </r>
  <r>
    <n v="1011"/>
    <x v="181"/>
    <x v="0"/>
    <x v="3"/>
    <n v="8186.12"/>
    <n v="13"/>
    <x v="3"/>
    <n v="1442.69"/>
    <n v="1882.57"/>
    <s v="Returning"/>
    <x v="24"/>
    <x v="0"/>
    <x v="0"/>
    <x v="12"/>
  </r>
  <r>
    <n v="1092"/>
    <x v="76"/>
    <x v="4"/>
    <x v="1"/>
    <n v="1897.98"/>
    <n v="49"/>
    <x v="0"/>
    <n v="2315"/>
    <n v="2467.2800000000002"/>
    <s v="New"/>
    <x v="25"/>
    <x v="1"/>
    <x v="1"/>
    <x v="17"/>
  </r>
  <r>
    <n v="1057"/>
    <x v="92"/>
    <x v="0"/>
    <x v="2"/>
    <n v="3772.32"/>
    <n v="31"/>
    <x v="0"/>
    <n v="2403.16"/>
    <n v="2453.35"/>
    <s v="Returning"/>
    <x v="27"/>
    <x v="2"/>
    <x v="0"/>
    <x v="3"/>
  </r>
  <r>
    <n v="1089"/>
    <x v="177"/>
    <x v="3"/>
    <x v="0"/>
    <n v="9029.2099999999991"/>
    <n v="35"/>
    <x v="0"/>
    <n v="3925.85"/>
    <n v="4082.1099999999901"/>
    <s v="New"/>
    <x v="20"/>
    <x v="0"/>
    <x v="0"/>
    <x v="7"/>
  </r>
  <r>
    <n v="1050"/>
    <x v="141"/>
    <x v="4"/>
    <x v="0"/>
    <n v="8086.27"/>
    <n v="6"/>
    <x v="0"/>
    <n v="3763.26"/>
    <n v="4102.72"/>
    <s v="New"/>
    <x v="1"/>
    <x v="2"/>
    <x v="1"/>
    <x v="15"/>
  </r>
  <r>
    <n v="1023"/>
    <x v="40"/>
    <x v="2"/>
    <x v="0"/>
    <n v="9850.1"/>
    <n v="5"/>
    <x v="3"/>
    <n v="2311.25"/>
    <n v="2482.34"/>
    <s v="Returning"/>
    <x v="20"/>
    <x v="2"/>
    <x v="1"/>
    <x v="19"/>
  </r>
  <r>
    <n v="1031"/>
    <x v="182"/>
    <x v="1"/>
    <x v="0"/>
    <n v="7567.06"/>
    <n v="22"/>
    <x v="1"/>
    <n v="4236.05"/>
    <n v="4382.32"/>
    <s v="New"/>
    <x v="2"/>
    <x v="1"/>
    <x v="0"/>
    <x v="11"/>
  </r>
  <r>
    <n v="1094"/>
    <x v="113"/>
    <x v="0"/>
    <x v="0"/>
    <n v="3992.63"/>
    <n v="49"/>
    <x v="1"/>
    <n v="615.47"/>
    <n v="715.84"/>
    <s v="Returning"/>
    <x v="5"/>
    <x v="2"/>
    <x v="1"/>
    <x v="0"/>
  </r>
  <r>
    <n v="1042"/>
    <x v="183"/>
    <x v="4"/>
    <x v="3"/>
    <n v="5947.31"/>
    <n v="23"/>
    <x v="3"/>
    <n v="1314"/>
    <n v="1567.78"/>
    <s v="Returning"/>
    <x v="25"/>
    <x v="2"/>
    <x v="1"/>
    <x v="18"/>
  </r>
  <r>
    <n v="1099"/>
    <x v="143"/>
    <x v="3"/>
    <x v="1"/>
    <n v="6644.04"/>
    <n v="25"/>
    <x v="3"/>
    <n v="4148.4799999999996"/>
    <n v="4293.6899999999996"/>
    <s v="New"/>
    <x v="1"/>
    <x v="1"/>
    <x v="0"/>
    <x v="8"/>
  </r>
  <r>
    <n v="1007"/>
    <x v="180"/>
    <x v="4"/>
    <x v="2"/>
    <n v="876.71"/>
    <n v="34"/>
    <x v="2"/>
    <n v="1921.07"/>
    <n v="2289.27"/>
    <s v="Returning"/>
    <x v="17"/>
    <x v="1"/>
    <x v="1"/>
    <x v="9"/>
  </r>
  <r>
    <n v="1016"/>
    <x v="184"/>
    <x v="3"/>
    <x v="3"/>
    <n v="5490.52"/>
    <n v="26"/>
    <x v="2"/>
    <n v="4906.8500000000004"/>
    <n v="4954.3900000000003"/>
    <s v="New"/>
    <x v="26"/>
    <x v="1"/>
    <x v="0"/>
    <x v="14"/>
  </r>
  <r>
    <n v="1090"/>
    <x v="160"/>
    <x v="2"/>
    <x v="1"/>
    <n v="7122.28"/>
    <n v="47"/>
    <x v="2"/>
    <n v="2357.9499999999998"/>
    <n v="2693.33"/>
    <s v="New"/>
    <x v="13"/>
    <x v="1"/>
    <x v="0"/>
    <x v="5"/>
  </r>
  <r>
    <n v="1060"/>
    <x v="185"/>
    <x v="1"/>
    <x v="0"/>
    <n v="1756.48"/>
    <n v="5"/>
    <x v="0"/>
    <n v="3970.08"/>
    <n v="4096.4799999999996"/>
    <s v="Returning"/>
    <x v="9"/>
    <x v="0"/>
    <x v="1"/>
    <x v="11"/>
  </r>
  <r>
    <n v="1002"/>
    <x v="149"/>
    <x v="2"/>
    <x v="1"/>
    <n v="7828.25"/>
    <n v="26"/>
    <x v="2"/>
    <n v="2041.42"/>
    <n v="2291.17"/>
    <s v="Returning"/>
    <x v="24"/>
    <x v="0"/>
    <x v="0"/>
    <x v="5"/>
  </r>
  <r>
    <n v="1001"/>
    <x v="186"/>
    <x v="0"/>
    <x v="1"/>
    <n v="5879.35"/>
    <n v="20"/>
    <x v="1"/>
    <n v="2153.52"/>
    <n v="2303.6999999999998"/>
    <s v="Returning"/>
    <x v="30"/>
    <x v="0"/>
    <x v="1"/>
    <x v="1"/>
  </r>
  <r>
    <n v="1048"/>
    <x v="187"/>
    <x v="4"/>
    <x v="0"/>
    <n v="9527"/>
    <n v="6"/>
    <x v="0"/>
    <n v="1945.27"/>
    <n v="2309.4299999999998"/>
    <s v="New"/>
    <x v="16"/>
    <x v="2"/>
    <x v="0"/>
    <x v="15"/>
  </r>
  <r>
    <n v="1012"/>
    <x v="24"/>
    <x v="3"/>
    <x v="0"/>
    <n v="519.98"/>
    <n v="6"/>
    <x v="2"/>
    <n v="3609.42"/>
    <n v="4082.62"/>
    <s v="Returning"/>
    <x v="23"/>
    <x v="1"/>
    <x v="1"/>
    <x v="7"/>
  </r>
  <r>
    <n v="1069"/>
    <x v="188"/>
    <x v="3"/>
    <x v="0"/>
    <n v="2726.73"/>
    <n v="18"/>
    <x v="0"/>
    <n v="2760.21"/>
    <n v="3219.58"/>
    <s v="New"/>
    <x v="29"/>
    <x v="1"/>
    <x v="1"/>
    <x v="7"/>
  </r>
  <r>
    <n v="1037"/>
    <x v="189"/>
    <x v="4"/>
    <x v="2"/>
    <n v="6055.38"/>
    <n v="4"/>
    <x v="1"/>
    <n v="4721.7"/>
    <n v="5017.58"/>
    <s v="New"/>
    <x v="19"/>
    <x v="0"/>
    <x v="1"/>
    <x v="9"/>
  </r>
  <r>
    <n v="1032"/>
    <x v="178"/>
    <x v="4"/>
    <x v="0"/>
    <n v="3035.94"/>
    <n v="17"/>
    <x v="2"/>
    <n v="1291.9100000000001"/>
    <n v="1528.59"/>
    <s v="Returning"/>
    <x v="1"/>
    <x v="2"/>
    <x v="1"/>
    <x v="15"/>
  </r>
  <r>
    <n v="1009"/>
    <x v="82"/>
    <x v="0"/>
    <x v="2"/>
    <n v="7172.8"/>
    <n v="14"/>
    <x v="1"/>
    <n v="547.79"/>
    <n v="958.76"/>
    <s v="Returning"/>
    <x v="17"/>
    <x v="2"/>
    <x v="1"/>
    <x v="3"/>
  </r>
  <r>
    <n v="1099"/>
    <x v="95"/>
    <x v="2"/>
    <x v="0"/>
    <n v="7614.15"/>
    <n v="14"/>
    <x v="1"/>
    <n v="1996.64"/>
    <n v="2341.4699999999998"/>
    <s v="Returning"/>
    <x v="20"/>
    <x v="2"/>
    <x v="0"/>
    <x v="19"/>
  </r>
  <r>
    <n v="1019"/>
    <x v="190"/>
    <x v="3"/>
    <x v="2"/>
    <n v="1114.9100000000001"/>
    <n v="13"/>
    <x v="1"/>
    <n v="3102.73"/>
    <n v="3202.68"/>
    <s v="New"/>
    <x v="0"/>
    <x v="0"/>
    <x v="0"/>
    <x v="6"/>
  </r>
  <r>
    <n v="1048"/>
    <x v="191"/>
    <x v="0"/>
    <x v="1"/>
    <n v="5187.16"/>
    <n v="7"/>
    <x v="2"/>
    <n v="4310.95"/>
    <n v="4723.2"/>
    <s v="Returning"/>
    <x v="8"/>
    <x v="2"/>
    <x v="1"/>
    <x v="1"/>
  </r>
  <r>
    <n v="1080"/>
    <x v="192"/>
    <x v="2"/>
    <x v="3"/>
    <n v="5138.0200000000004"/>
    <n v="44"/>
    <x v="3"/>
    <n v="1763.67"/>
    <n v="1983.82"/>
    <s v="New"/>
    <x v="19"/>
    <x v="2"/>
    <x v="0"/>
    <x v="4"/>
  </r>
  <r>
    <n v="1003"/>
    <x v="160"/>
    <x v="0"/>
    <x v="1"/>
    <n v="3755.88"/>
    <n v="15"/>
    <x v="2"/>
    <n v="3286.24"/>
    <n v="3388.8399999999901"/>
    <s v="Returning"/>
    <x v="0"/>
    <x v="2"/>
    <x v="1"/>
    <x v="1"/>
  </r>
  <r>
    <n v="1020"/>
    <x v="101"/>
    <x v="3"/>
    <x v="1"/>
    <n v="9335.9599999999991"/>
    <n v="19"/>
    <x v="1"/>
    <n v="1783.48"/>
    <n v="1931.56"/>
    <s v="Returning"/>
    <x v="29"/>
    <x v="1"/>
    <x v="1"/>
    <x v="8"/>
  </r>
  <r>
    <n v="1024"/>
    <x v="193"/>
    <x v="4"/>
    <x v="0"/>
    <n v="8292.31"/>
    <n v="43"/>
    <x v="2"/>
    <n v="3105.24"/>
    <n v="3246.33"/>
    <s v="New"/>
    <x v="26"/>
    <x v="0"/>
    <x v="0"/>
    <x v="15"/>
  </r>
  <r>
    <n v="1054"/>
    <x v="43"/>
    <x v="4"/>
    <x v="2"/>
    <n v="7002.37"/>
    <n v="47"/>
    <x v="1"/>
    <n v="4429.8"/>
    <n v="4694.21"/>
    <s v="New"/>
    <x v="26"/>
    <x v="1"/>
    <x v="0"/>
    <x v="9"/>
  </r>
  <r>
    <n v="1033"/>
    <x v="55"/>
    <x v="2"/>
    <x v="3"/>
    <n v="7171.83"/>
    <n v="44"/>
    <x v="3"/>
    <n v="1195.22"/>
    <n v="1320.06"/>
    <s v="Returning"/>
    <x v="10"/>
    <x v="1"/>
    <x v="1"/>
    <x v="4"/>
  </r>
  <r>
    <n v="1024"/>
    <x v="194"/>
    <x v="1"/>
    <x v="0"/>
    <n v="4670.99"/>
    <n v="35"/>
    <x v="0"/>
    <n v="2051"/>
    <n v="2121.5500000000002"/>
    <s v="Returning"/>
    <x v="16"/>
    <x v="0"/>
    <x v="1"/>
    <x v="11"/>
  </r>
  <r>
    <n v="1075"/>
    <x v="195"/>
    <x v="2"/>
    <x v="0"/>
    <n v="9217.85"/>
    <n v="17"/>
    <x v="3"/>
    <n v="4966.66"/>
    <n v="5037.2699999999904"/>
    <s v="Returning"/>
    <x v="19"/>
    <x v="1"/>
    <x v="1"/>
    <x v="19"/>
  </r>
  <r>
    <n v="1072"/>
    <x v="196"/>
    <x v="1"/>
    <x v="0"/>
    <n v="6976.49"/>
    <n v="35"/>
    <x v="3"/>
    <n v="4349.3599999999997"/>
    <n v="4645.17"/>
    <s v="Returning"/>
    <x v="13"/>
    <x v="2"/>
    <x v="1"/>
    <x v="11"/>
  </r>
  <r>
    <n v="1036"/>
    <x v="78"/>
    <x v="0"/>
    <x v="1"/>
    <n v="7316.91"/>
    <n v="19"/>
    <x v="0"/>
    <n v="2844.97"/>
    <n v="3215"/>
    <s v="Returning"/>
    <x v="0"/>
    <x v="2"/>
    <x v="1"/>
    <x v="1"/>
  </r>
  <r>
    <n v="1038"/>
    <x v="102"/>
    <x v="0"/>
    <x v="2"/>
    <n v="8630.74"/>
    <n v="20"/>
    <x v="2"/>
    <n v="2607.31"/>
    <n v="2774.86"/>
    <s v="New"/>
    <x v="29"/>
    <x v="2"/>
    <x v="1"/>
    <x v="3"/>
  </r>
  <r>
    <n v="1084"/>
    <x v="2"/>
    <x v="3"/>
    <x v="2"/>
    <n v="2813.31"/>
    <n v="36"/>
    <x v="0"/>
    <n v="1458.77"/>
    <n v="1485.75"/>
    <s v="New"/>
    <x v="26"/>
    <x v="2"/>
    <x v="0"/>
    <x v="6"/>
  </r>
  <r>
    <n v="1099"/>
    <x v="164"/>
    <x v="1"/>
    <x v="3"/>
    <n v="8090"/>
    <n v="35"/>
    <x v="2"/>
    <n v="2610.19"/>
    <n v="2682.53"/>
    <s v="New"/>
    <x v="6"/>
    <x v="0"/>
    <x v="1"/>
    <x v="16"/>
  </r>
  <r>
    <n v="1089"/>
    <x v="197"/>
    <x v="3"/>
    <x v="2"/>
    <n v="2032.88"/>
    <n v="32"/>
    <x v="2"/>
    <n v="4248.5"/>
    <n v="4706.7"/>
    <s v="New"/>
    <x v="30"/>
    <x v="1"/>
    <x v="1"/>
    <x v="6"/>
  </r>
  <r>
    <n v="1099"/>
    <x v="198"/>
    <x v="4"/>
    <x v="2"/>
    <n v="3518.89"/>
    <n v="48"/>
    <x v="1"/>
    <n v="3441.61"/>
    <n v="3693.45"/>
    <s v="Returning"/>
    <x v="27"/>
    <x v="1"/>
    <x v="0"/>
    <x v="9"/>
  </r>
  <r>
    <n v="1025"/>
    <x v="108"/>
    <x v="1"/>
    <x v="0"/>
    <n v="3422.54"/>
    <n v="44"/>
    <x v="1"/>
    <n v="1485.72"/>
    <n v="1717.97"/>
    <s v="New"/>
    <x v="3"/>
    <x v="2"/>
    <x v="1"/>
    <x v="11"/>
  </r>
  <r>
    <n v="1093"/>
    <x v="199"/>
    <x v="2"/>
    <x v="0"/>
    <n v="9787.4"/>
    <n v="40"/>
    <x v="0"/>
    <n v="1047.25"/>
    <n v="1075.8900000000001"/>
    <s v="New"/>
    <x v="24"/>
    <x v="2"/>
    <x v="1"/>
    <x v="19"/>
  </r>
  <r>
    <n v="1018"/>
    <x v="200"/>
    <x v="4"/>
    <x v="1"/>
    <n v="8579.7199999999993"/>
    <n v="24"/>
    <x v="3"/>
    <n v="1362.78"/>
    <n v="1729.81"/>
    <s v="New"/>
    <x v="12"/>
    <x v="1"/>
    <x v="0"/>
    <x v="17"/>
  </r>
  <r>
    <n v="1082"/>
    <x v="201"/>
    <x v="4"/>
    <x v="0"/>
    <n v="7041.58"/>
    <n v="17"/>
    <x v="0"/>
    <n v="890.31"/>
    <n v="1159.06"/>
    <s v="Returning"/>
    <x v="18"/>
    <x v="0"/>
    <x v="1"/>
    <x v="15"/>
  </r>
  <r>
    <n v="1066"/>
    <x v="202"/>
    <x v="2"/>
    <x v="0"/>
    <n v="7297.86"/>
    <n v="7"/>
    <x v="2"/>
    <n v="523.41999999999996"/>
    <n v="632.43999999999903"/>
    <s v="New"/>
    <x v="2"/>
    <x v="1"/>
    <x v="0"/>
    <x v="19"/>
  </r>
  <r>
    <n v="1054"/>
    <x v="164"/>
    <x v="4"/>
    <x v="0"/>
    <n v="5664.52"/>
    <n v="43"/>
    <x v="1"/>
    <n v="2124.7199999999998"/>
    <n v="2188.66"/>
    <s v="Returning"/>
    <x v="21"/>
    <x v="2"/>
    <x v="1"/>
    <x v="15"/>
  </r>
  <r>
    <n v="1035"/>
    <x v="108"/>
    <x v="1"/>
    <x v="0"/>
    <n v="9476.2000000000007"/>
    <n v="1"/>
    <x v="0"/>
    <n v="610.83000000000004"/>
    <n v="808.69"/>
    <s v="New"/>
    <x v="20"/>
    <x v="2"/>
    <x v="0"/>
    <x v="11"/>
  </r>
  <r>
    <n v="1080"/>
    <x v="68"/>
    <x v="3"/>
    <x v="1"/>
    <n v="5012.96"/>
    <n v="35"/>
    <x v="0"/>
    <n v="900.97"/>
    <n v="1321.18"/>
    <s v="Returning"/>
    <x v="15"/>
    <x v="0"/>
    <x v="0"/>
    <x v="8"/>
  </r>
  <r>
    <n v="1061"/>
    <x v="89"/>
    <x v="4"/>
    <x v="0"/>
    <n v="3867.13"/>
    <n v="32"/>
    <x v="1"/>
    <n v="2759.26"/>
    <n v="3193.25"/>
    <s v="New"/>
    <x v="2"/>
    <x v="1"/>
    <x v="0"/>
    <x v="15"/>
  </r>
  <r>
    <n v="1041"/>
    <x v="203"/>
    <x v="1"/>
    <x v="3"/>
    <n v="1714.05"/>
    <n v="36"/>
    <x v="1"/>
    <n v="864.77"/>
    <n v="1170.1599999999901"/>
    <s v="Returning"/>
    <x v="1"/>
    <x v="0"/>
    <x v="1"/>
    <x v="16"/>
  </r>
  <r>
    <n v="1100"/>
    <x v="77"/>
    <x v="0"/>
    <x v="3"/>
    <n v="7883.44"/>
    <n v="13"/>
    <x v="1"/>
    <n v="366.2"/>
    <n v="732.69"/>
    <s v="New"/>
    <x v="14"/>
    <x v="0"/>
    <x v="1"/>
    <x v="12"/>
  </r>
  <r>
    <n v="1033"/>
    <x v="163"/>
    <x v="1"/>
    <x v="3"/>
    <n v="7370.99"/>
    <n v="6"/>
    <x v="2"/>
    <n v="1621.07"/>
    <n v="1687.5"/>
    <s v="Returning"/>
    <x v="7"/>
    <x v="2"/>
    <x v="0"/>
    <x v="16"/>
  </r>
  <r>
    <n v="1068"/>
    <x v="29"/>
    <x v="3"/>
    <x v="3"/>
    <n v="3905.11"/>
    <n v="14"/>
    <x v="1"/>
    <n v="1140.58"/>
    <n v="1438.76"/>
    <s v="Returning"/>
    <x v="21"/>
    <x v="1"/>
    <x v="0"/>
    <x v="14"/>
  </r>
  <r>
    <n v="1033"/>
    <x v="204"/>
    <x v="1"/>
    <x v="0"/>
    <n v="349.41"/>
    <n v="37"/>
    <x v="3"/>
    <n v="2600.7600000000002"/>
    <n v="2937.57"/>
    <s v="New"/>
    <x v="22"/>
    <x v="2"/>
    <x v="1"/>
    <x v="11"/>
  </r>
  <r>
    <n v="1014"/>
    <x v="205"/>
    <x v="2"/>
    <x v="3"/>
    <n v="8406.07"/>
    <n v="48"/>
    <x v="0"/>
    <n v="556.72"/>
    <n v="665.07"/>
    <s v="Returning"/>
    <x v="30"/>
    <x v="1"/>
    <x v="1"/>
    <x v="4"/>
  </r>
  <r>
    <n v="1021"/>
    <x v="90"/>
    <x v="3"/>
    <x v="0"/>
    <n v="213.04"/>
    <n v="15"/>
    <x v="1"/>
    <n v="3771.27"/>
    <n v="4212.55"/>
    <s v="Returning"/>
    <x v="28"/>
    <x v="2"/>
    <x v="1"/>
    <x v="7"/>
  </r>
  <r>
    <n v="1048"/>
    <x v="206"/>
    <x v="0"/>
    <x v="1"/>
    <n v="7066.63"/>
    <n v="47"/>
    <x v="1"/>
    <n v="4535.8599999999997"/>
    <n v="4641.41"/>
    <s v="New"/>
    <x v="29"/>
    <x v="2"/>
    <x v="1"/>
    <x v="1"/>
  </r>
  <r>
    <n v="1020"/>
    <x v="207"/>
    <x v="2"/>
    <x v="3"/>
    <n v="9705.5499999999993"/>
    <n v="4"/>
    <x v="2"/>
    <n v="3730"/>
    <n v="3893.6"/>
    <s v="New"/>
    <x v="26"/>
    <x v="1"/>
    <x v="1"/>
    <x v="4"/>
  </r>
  <r>
    <n v="1008"/>
    <x v="208"/>
    <x v="1"/>
    <x v="2"/>
    <n v="4432.8500000000004"/>
    <n v="40"/>
    <x v="2"/>
    <n v="2687.49"/>
    <n v="3001.56"/>
    <s v="Returning"/>
    <x v="16"/>
    <x v="1"/>
    <x v="0"/>
    <x v="2"/>
  </r>
  <r>
    <n v="1007"/>
    <x v="14"/>
    <x v="3"/>
    <x v="3"/>
    <n v="2426.2399999999998"/>
    <n v="16"/>
    <x v="0"/>
    <n v="4310.3100000000004"/>
    <n v="4633.1000000000004"/>
    <s v="New"/>
    <x v="24"/>
    <x v="2"/>
    <x v="1"/>
    <x v="14"/>
  </r>
  <r>
    <n v="1067"/>
    <x v="119"/>
    <x v="0"/>
    <x v="3"/>
    <n v="7078.22"/>
    <n v="28"/>
    <x v="3"/>
    <n v="3489.85"/>
    <n v="3842.5499999999902"/>
    <s v="New"/>
    <x v="21"/>
    <x v="1"/>
    <x v="0"/>
    <x v="12"/>
  </r>
  <r>
    <n v="1017"/>
    <x v="156"/>
    <x v="2"/>
    <x v="0"/>
    <n v="8189.57"/>
    <n v="16"/>
    <x v="0"/>
    <n v="102.23"/>
    <n v="167.12"/>
    <s v="New"/>
    <x v="14"/>
    <x v="2"/>
    <x v="1"/>
    <x v="19"/>
  </r>
  <r>
    <n v="1033"/>
    <x v="123"/>
    <x v="0"/>
    <x v="3"/>
    <n v="5509.66"/>
    <n v="4"/>
    <x v="1"/>
    <n v="2000.75"/>
    <n v="2426.9899999999998"/>
    <s v="Returning"/>
    <x v="22"/>
    <x v="1"/>
    <x v="0"/>
    <x v="12"/>
  </r>
  <r>
    <n v="1048"/>
    <x v="154"/>
    <x v="1"/>
    <x v="2"/>
    <n v="9673.65"/>
    <n v="45"/>
    <x v="3"/>
    <n v="4262.21"/>
    <n v="4533.3100000000004"/>
    <s v="Returning"/>
    <x v="29"/>
    <x v="2"/>
    <x v="0"/>
    <x v="2"/>
  </r>
  <r>
    <n v="1076"/>
    <x v="2"/>
    <x v="0"/>
    <x v="0"/>
    <n v="611.52"/>
    <n v="26"/>
    <x v="3"/>
    <n v="1762"/>
    <n v="2002.95"/>
    <s v="Returning"/>
    <x v="12"/>
    <x v="2"/>
    <x v="1"/>
    <x v="0"/>
  </r>
  <r>
    <n v="1059"/>
    <x v="96"/>
    <x v="4"/>
    <x v="0"/>
    <n v="5097.4799999999996"/>
    <n v="28"/>
    <x v="3"/>
    <n v="224.32"/>
    <n v="715.06"/>
    <s v="Returning"/>
    <x v="30"/>
    <x v="2"/>
    <x v="0"/>
    <x v="15"/>
  </r>
  <r>
    <n v="1086"/>
    <x v="209"/>
    <x v="2"/>
    <x v="1"/>
    <n v="7212.69"/>
    <n v="32"/>
    <x v="3"/>
    <n v="3743.59"/>
    <n v="4116.38"/>
    <s v="Returning"/>
    <x v="1"/>
    <x v="0"/>
    <x v="0"/>
    <x v="5"/>
  </r>
  <r>
    <n v="1022"/>
    <x v="210"/>
    <x v="0"/>
    <x v="1"/>
    <n v="8640.14"/>
    <n v="45"/>
    <x v="0"/>
    <n v="4020.09"/>
    <n v="4087.91"/>
    <s v="Returning"/>
    <x v="18"/>
    <x v="1"/>
    <x v="0"/>
    <x v="1"/>
  </r>
  <r>
    <n v="1030"/>
    <x v="101"/>
    <x v="1"/>
    <x v="3"/>
    <n v="1874.63"/>
    <n v="2"/>
    <x v="2"/>
    <n v="844.94"/>
    <n v="1225.6400000000001"/>
    <s v="Returning"/>
    <x v="10"/>
    <x v="2"/>
    <x v="0"/>
    <x v="16"/>
  </r>
  <r>
    <n v="1038"/>
    <x v="108"/>
    <x v="1"/>
    <x v="1"/>
    <n v="8020.03"/>
    <n v="31"/>
    <x v="2"/>
    <n v="2709.84"/>
    <n v="2766.51"/>
    <s v="New"/>
    <x v="27"/>
    <x v="0"/>
    <x v="1"/>
    <x v="13"/>
  </r>
  <r>
    <n v="1051"/>
    <x v="211"/>
    <x v="0"/>
    <x v="1"/>
    <n v="5571.8"/>
    <n v="3"/>
    <x v="1"/>
    <n v="1000.18"/>
    <n v="1023.64"/>
    <s v="Returning"/>
    <x v="14"/>
    <x v="2"/>
    <x v="0"/>
    <x v="1"/>
  </r>
  <r>
    <n v="1054"/>
    <x v="146"/>
    <x v="1"/>
    <x v="1"/>
    <n v="4025.88"/>
    <n v="8"/>
    <x v="2"/>
    <n v="3610.21"/>
    <n v="3817.99"/>
    <s v="Returning"/>
    <x v="25"/>
    <x v="0"/>
    <x v="1"/>
    <x v="13"/>
  </r>
  <r>
    <n v="1008"/>
    <x v="98"/>
    <x v="3"/>
    <x v="0"/>
    <n v="1403.98"/>
    <n v="24"/>
    <x v="2"/>
    <n v="1394.17"/>
    <n v="1891.02"/>
    <s v="New"/>
    <x v="5"/>
    <x v="2"/>
    <x v="0"/>
    <x v="7"/>
  </r>
  <r>
    <n v="1027"/>
    <x v="162"/>
    <x v="3"/>
    <x v="0"/>
    <n v="8666.43"/>
    <n v="15"/>
    <x v="2"/>
    <n v="1615.26"/>
    <n v="1710.95"/>
    <s v="New"/>
    <x v="10"/>
    <x v="2"/>
    <x v="1"/>
    <x v="7"/>
  </r>
  <r>
    <n v="1027"/>
    <x v="34"/>
    <x v="3"/>
    <x v="0"/>
    <n v="1657"/>
    <n v="43"/>
    <x v="2"/>
    <n v="4232.6099999999997"/>
    <n v="4572.21"/>
    <s v="New"/>
    <x v="30"/>
    <x v="0"/>
    <x v="1"/>
    <x v="7"/>
  </r>
  <r>
    <n v="1098"/>
    <x v="27"/>
    <x v="4"/>
    <x v="1"/>
    <n v="3166.9"/>
    <n v="31"/>
    <x v="1"/>
    <n v="2407.8000000000002"/>
    <n v="2502.7600000000002"/>
    <s v="Returning"/>
    <x v="29"/>
    <x v="0"/>
    <x v="1"/>
    <x v="17"/>
  </r>
  <r>
    <n v="1021"/>
    <x v="212"/>
    <x v="0"/>
    <x v="0"/>
    <n v="2971.45"/>
    <n v="9"/>
    <x v="0"/>
    <n v="3365.28"/>
    <n v="3730.43"/>
    <s v="New"/>
    <x v="22"/>
    <x v="1"/>
    <x v="0"/>
    <x v="0"/>
  </r>
  <r>
    <n v="1030"/>
    <x v="128"/>
    <x v="4"/>
    <x v="1"/>
    <n v="8727"/>
    <n v="39"/>
    <x v="3"/>
    <n v="2041.75"/>
    <n v="2299.37"/>
    <s v="Returning"/>
    <x v="19"/>
    <x v="1"/>
    <x v="1"/>
    <x v="17"/>
  </r>
  <r>
    <n v="1097"/>
    <x v="213"/>
    <x v="1"/>
    <x v="0"/>
    <n v="6759.76"/>
    <n v="45"/>
    <x v="2"/>
    <n v="1525.13"/>
    <n v="1868.32"/>
    <s v="Returning"/>
    <x v="19"/>
    <x v="0"/>
    <x v="1"/>
    <x v="11"/>
  </r>
  <r>
    <n v="1028"/>
    <x v="67"/>
    <x v="4"/>
    <x v="0"/>
    <n v="7987.15"/>
    <n v="2"/>
    <x v="0"/>
    <n v="3146.12"/>
    <n v="3255.5299999999902"/>
    <s v="Returning"/>
    <x v="18"/>
    <x v="1"/>
    <x v="0"/>
    <x v="15"/>
  </r>
  <r>
    <n v="1064"/>
    <x v="214"/>
    <x v="1"/>
    <x v="2"/>
    <n v="2579.63"/>
    <n v="8"/>
    <x v="2"/>
    <n v="816.54"/>
    <n v="1191.9000000000001"/>
    <s v="New"/>
    <x v="21"/>
    <x v="0"/>
    <x v="1"/>
    <x v="2"/>
  </r>
  <r>
    <n v="1097"/>
    <x v="215"/>
    <x v="1"/>
    <x v="3"/>
    <n v="6286.25"/>
    <n v="7"/>
    <x v="2"/>
    <n v="1896.35"/>
    <n v="2394.1999999999998"/>
    <s v="New"/>
    <x v="20"/>
    <x v="1"/>
    <x v="0"/>
    <x v="16"/>
  </r>
  <r>
    <n v="1069"/>
    <x v="216"/>
    <x v="2"/>
    <x v="1"/>
    <n v="5760.29"/>
    <n v="44"/>
    <x v="3"/>
    <n v="1084.73"/>
    <n v="1420.9"/>
    <s v="Returning"/>
    <x v="8"/>
    <x v="2"/>
    <x v="0"/>
    <x v="5"/>
  </r>
  <r>
    <n v="1061"/>
    <x v="20"/>
    <x v="3"/>
    <x v="2"/>
    <n v="8345.02"/>
    <n v="39"/>
    <x v="3"/>
    <n v="3494.19"/>
    <n v="3746"/>
    <s v="Returning"/>
    <x v="26"/>
    <x v="1"/>
    <x v="1"/>
    <x v="6"/>
  </r>
  <r>
    <n v="1048"/>
    <x v="33"/>
    <x v="1"/>
    <x v="0"/>
    <n v="9070.26"/>
    <n v="42"/>
    <x v="3"/>
    <n v="4723.83"/>
    <n v="5186.1899999999996"/>
    <s v="Returning"/>
    <x v="20"/>
    <x v="2"/>
    <x v="0"/>
    <x v="11"/>
  </r>
  <r>
    <n v="1019"/>
    <x v="178"/>
    <x v="2"/>
    <x v="1"/>
    <n v="220.35"/>
    <n v="16"/>
    <x v="2"/>
    <n v="4977.78"/>
    <n v="4995.55"/>
    <s v="New"/>
    <x v="26"/>
    <x v="2"/>
    <x v="0"/>
    <x v="5"/>
  </r>
  <r>
    <n v="1004"/>
    <x v="217"/>
    <x v="3"/>
    <x v="0"/>
    <n v="6772.8"/>
    <n v="35"/>
    <x v="2"/>
    <n v="2278.87"/>
    <n v="2646.5299999999902"/>
    <s v="Returning"/>
    <x v="0"/>
    <x v="1"/>
    <x v="0"/>
    <x v="7"/>
  </r>
  <r>
    <n v="1035"/>
    <x v="218"/>
    <x v="1"/>
    <x v="3"/>
    <n v="613.16999999999996"/>
    <n v="30"/>
    <x v="2"/>
    <n v="1300.03"/>
    <n v="1745.52"/>
    <s v="New"/>
    <x v="0"/>
    <x v="0"/>
    <x v="1"/>
    <x v="16"/>
  </r>
  <r>
    <n v="1064"/>
    <x v="219"/>
    <x v="1"/>
    <x v="2"/>
    <n v="5533.7"/>
    <n v="10"/>
    <x v="3"/>
    <n v="2242.0100000000002"/>
    <n v="2282.23"/>
    <s v="Returning"/>
    <x v="2"/>
    <x v="2"/>
    <x v="0"/>
    <x v="2"/>
  </r>
  <r>
    <n v="1049"/>
    <x v="131"/>
    <x v="4"/>
    <x v="3"/>
    <n v="2947.56"/>
    <n v="38"/>
    <x v="1"/>
    <n v="4243.9799999999996"/>
    <n v="4474.5099999999902"/>
    <s v="New"/>
    <x v="30"/>
    <x v="2"/>
    <x v="0"/>
    <x v="18"/>
  </r>
  <r>
    <n v="1017"/>
    <x v="220"/>
    <x v="4"/>
    <x v="2"/>
    <n v="3137.09"/>
    <n v="18"/>
    <x v="0"/>
    <n v="1069.73"/>
    <n v="1180.04"/>
    <s v="Returning"/>
    <x v="20"/>
    <x v="1"/>
    <x v="0"/>
    <x v="9"/>
  </r>
  <r>
    <n v="1044"/>
    <x v="142"/>
    <x v="3"/>
    <x v="0"/>
    <n v="3594.29"/>
    <n v="5"/>
    <x v="1"/>
    <n v="4762.87"/>
    <n v="5050.46"/>
    <s v="New"/>
    <x v="26"/>
    <x v="0"/>
    <x v="1"/>
    <x v="7"/>
  </r>
  <r>
    <n v="1092"/>
    <x v="221"/>
    <x v="1"/>
    <x v="3"/>
    <n v="6250.8"/>
    <n v="29"/>
    <x v="2"/>
    <n v="1742.24"/>
    <n v="2070.52"/>
    <s v="New"/>
    <x v="7"/>
    <x v="0"/>
    <x v="0"/>
    <x v="16"/>
  </r>
  <r>
    <n v="1030"/>
    <x v="222"/>
    <x v="0"/>
    <x v="3"/>
    <n v="3407.09"/>
    <n v="39"/>
    <x v="2"/>
    <n v="4929.7299999999996"/>
    <n v="5088.0199999999904"/>
    <s v="New"/>
    <x v="10"/>
    <x v="1"/>
    <x v="1"/>
    <x v="12"/>
  </r>
  <r>
    <n v="1093"/>
    <x v="223"/>
    <x v="4"/>
    <x v="0"/>
    <n v="7353.72"/>
    <n v="34"/>
    <x v="1"/>
    <n v="4201.1099999999997"/>
    <n v="4436.5"/>
    <s v="New"/>
    <x v="8"/>
    <x v="0"/>
    <x v="0"/>
    <x v="15"/>
  </r>
  <r>
    <n v="1046"/>
    <x v="54"/>
    <x v="3"/>
    <x v="3"/>
    <n v="4104.82"/>
    <n v="43"/>
    <x v="2"/>
    <n v="4052.42"/>
    <n v="4199.3"/>
    <s v="New"/>
    <x v="15"/>
    <x v="1"/>
    <x v="1"/>
    <x v="14"/>
  </r>
  <r>
    <n v="1006"/>
    <x v="70"/>
    <x v="1"/>
    <x v="1"/>
    <n v="776.7"/>
    <n v="45"/>
    <x v="0"/>
    <n v="1623.63"/>
    <n v="1814.63"/>
    <s v="New"/>
    <x v="12"/>
    <x v="1"/>
    <x v="1"/>
    <x v="13"/>
  </r>
  <r>
    <n v="1099"/>
    <x v="62"/>
    <x v="1"/>
    <x v="2"/>
    <n v="7859.22"/>
    <n v="23"/>
    <x v="2"/>
    <n v="93.45"/>
    <n v="181.62"/>
    <s v="Returning"/>
    <x v="23"/>
    <x v="1"/>
    <x v="1"/>
    <x v="2"/>
  </r>
  <r>
    <n v="1037"/>
    <x v="224"/>
    <x v="0"/>
    <x v="2"/>
    <n v="2929.01"/>
    <n v="5"/>
    <x v="0"/>
    <n v="1941.56"/>
    <n v="2385.48"/>
    <s v="Returning"/>
    <x v="25"/>
    <x v="2"/>
    <x v="0"/>
    <x v="3"/>
  </r>
  <r>
    <n v="1024"/>
    <x v="195"/>
    <x v="3"/>
    <x v="2"/>
    <n v="4384.3900000000003"/>
    <n v="30"/>
    <x v="1"/>
    <n v="1543.96"/>
    <n v="1558.87"/>
    <s v="Returning"/>
    <x v="24"/>
    <x v="2"/>
    <x v="0"/>
    <x v="6"/>
  </r>
  <r>
    <n v="1093"/>
    <x v="11"/>
    <x v="1"/>
    <x v="1"/>
    <n v="6885.89"/>
    <n v="6"/>
    <x v="1"/>
    <n v="235.12"/>
    <n v="677.5"/>
    <s v="Returning"/>
    <x v="28"/>
    <x v="2"/>
    <x v="0"/>
    <x v="13"/>
  </r>
  <r>
    <n v="1046"/>
    <x v="225"/>
    <x v="4"/>
    <x v="2"/>
    <n v="3391.32"/>
    <n v="46"/>
    <x v="2"/>
    <n v="2551.56"/>
    <n v="2841.68"/>
    <s v="New"/>
    <x v="0"/>
    <x v="1"/>
    <x v="1"/>
    <x v="9"/>
  </r>
  <r>
    <n v="1053"/>
    <x v="226"/>
    <x v="0"/>
    <x v="0"/>
    <n v="660.2"/>
    <n v="44"/>
    <x v="0"/>
    <n v="2045"/>
    <n v="2217.5100000000002"/>
    <s v="Returning"/>
    <x v="4"/>
    <x v="2"/>
    <x v="0"/>
    <x v="0"/>
  </r>
  <r>
    <n v="1095"/>
    <x v="182"/>
    <x v="3"/>
    <x v="3"/>
    <n v="3801.82"/>
    <n v="4"/>
    <x v="2"/>
    <n v="3191.05"/>
    <n v="3555.35"/>
    <s v="New"/>
    <x v="24"/>
    <x v="2"/>
    <x v="0"/>
    <x v="14"/>
  </r>
  <r>
    <n v="1099"/>
    <x v="174"/>
    <x v="0"/>
    <x v="1"/>
    <n v="9450.0400000000009"/>
    <n v="29"/>
    <x v="3"/>
    <n v="3124.87"/>
    <n v="3383.67"/>
    <s v="New"/>
    <x v="8"/>
    <x v="2"/>
    <x v="1"/>
    <x v="1"/>
  </r>
  <r>
    <n v="1060"/>
    <x v="227"/>
    <x v="4"/>
    <x v="2"/>
    <n v="6453.17"/>
    <n v="23"/>
    <x v="3"/>
    <n v="647.70000000000005"/>
    <n v="902.26"/>
    <s v="New"/>
    <x v="22"/>
    <x v="1"/>
    <x v="0"/>
    <x v="9"/>
  </r>
  <r>
    <n v="1097"/>
    <x v="228"/>
    <x v="3"/>
    <x v="0"/>
    <n v="6747.64"/>
    <n v="6"/>
    <x v="3"/>
    <n v="4885.9799999999996"/>
    <n v="4949.95"/>
    <s v="Returning"/>
    <x v="22"/>
    <x v="1"/>
    <x v="0"/>
    <x v="7"/>
  </r>
  <r>
    <n v="1063"/>
    <x v="166"/>
    <x v="0"/>
    <x v="3"/>
    <n v="6359.59"/>
    <n v="32"/>
    <x v="3"/>
    <n v="975.31"/>
    <n v="1176.17"/>
    <s v="New"/>
    <x v="20"/>
    <x v="1"/>
    <x v="1"/>
    <x v="12"/>
  </r>
  <r>
    <n v="1085"/>
    <x v="189"/>
    <x v="2"/>
    <x v="3"/>
    <n v="2070.02"/>
    <n v="42"/>
    <x v="2"/>
    <n v="2254.11"/>
    <n v="2382.23"/>
    <s v="Returning"/>
    <x v="25"/>
    <x v="2"/>
    <x v="1"/>
    <x v="4"/>
  </r>
  <r>
    <n v="1032"/>
    <x v="211"/>
    <x v="4"/>
    <x v="1"/>
    <n v="4241.51"/>
    <n v="18"/>
    <x v="3"/>
    <n v="2466.1799999999998"/>
    <n v="2483.87"/>
    <s v="Returning"/>
    <x v="4"/>
    <x v="0"/>
    <x v="0"/>
    <x v="17"/>
  </r>
  <r>
    <n v="1087"/>
    <x v="229"/>
    <x v="4"/>
    <x v="1"/>
    <n v="7534.3"/>
    <n v="15"/>
    <x v="0"/>
    <n v="4074.66"/>
    <n v="4261.1099999999997"/>
    <s v="Returning"/>
    <x v="8"/>
    <x v="2"/>
    <x v="1"/>
    <x v="17"/>
  </r>
  <r>
    <n v="1033"/>
    <x v="186"/>
    <x v="4"/>
    <x v="1"/>
    <n v="1103.5899999999999"/>
    <n v="40"/>
    <x v="1"/>
    <n v="541.19000000000005"/>
    <n v="595.20000000000005"/>
    <s v="Returning"/>
    <x v="27"/>
    <x v="2"/>
    <x v="0"/>
    <x v="17"/>
  </r>
  <r>
    <n v="1067"/>
    <x v="173"/>
    <x v="2"/>
    <x v="0"/>
    <n v="2850.74"/>
    <n v="32"/>
    <x v="1"/>
    <n v="2171.79"/>
    <n v="2307.64"/>
    <s v="Returning"/>
    <x v="20"/>
    <x v="1"/>
    <x v="0"/>
    <x v="19"/>
  </r>
  <r>
    <n v="1018"/>
    <x v="185"/>
    <x v="2"/>
    <x v="0"/>
    <n v="2835.56"/>
    <n v="9"/>
    <x v="3"/>
    <n v="3161.09"/>
    <n v="3216.42"/>
    <s v="New"/>
    <x v="22"/>
    <x v="1"/>
    <x v="0"/>
    <x v="19"/>
  </r>
  <r>
    <n v="1025"/>
    <x v="230"/>
    <x v="1"/>
    <x v="1"/>
    <n v="4376.99"/>
    <n v="37"/>
    <x v="3"/>
    <n v="1115.02"/>
    <n v="1174.48"/>
    <s v="New"/>
    <x v="20"/>
    <x v="2"/>
    <x v="0"/>
    <x v="13"/>
  </r>
  <r>
    <n v="1095"/>
    <x v="137"/>
    <x v="0"/>
    <x v="2"/>
    <n v="9805.65"/>
    <n v="10"/>
    <x v="3"/>
    <n v="3155.97"/>
    <n v="3263.49"/>
    <s v="Returning"/>
    <x v="14"/>
    <x v="2"/>
    <x v="0"/>
    <x v="3"/>
  </r>
  <r>
    <n v="1054"/>
    <x v="230"/>
    <x v="1"/>
    <x v="3"/>
    <n v="768.28"/>
    <n v="20"/>
    <x v="2"/>
    <n v="4622.1400000000003"/>
    <n v="5122.07"/>
    <s v="New"/>
    <x v="16"/>
    <x v="0"/>
    <x v="1"/>
    <x v="16"/>
  </r>
  <r>
    <n v="1058"/>
    <x v="107"/>
    <x v="0"/>
    <x v="3"/>
    <n v="5235.1400000000003"/>
    <n v="6"/>
    <x v="1"/>
    <n v="4987.71"/>
    <n v="4998.78"/>
    <s v="Returning"/>
    <x v="22"/>
    <x v="0"/>
    <x v="1"/>
    <x v="12"/>
  </r>
  <r>
    <n v="1067"/>
    <x v="231"/>
    <x v="2"/>
    <x v="0"/>
    <n v="1875.71"/>
    <n v="48"/>
    <x v="3"/>
    <n v="210.63"/>
    <n v="533.57999999999902"/>
    <s v="New"/>
    <x v="14"/>
    <x v="1"/>
    <x v="0"/>
    <x v="19"/>
  </r>
  <r>
    <n v="1046"/>
    <x v="32"/>
    <x v="2"/>
    <x v="3"/>
    <n v="9709.7000000000007"/>
    <n v="3"/>
    <x v="0"/>
    <n v="1216.1600000000001"/>
    <n v="1295.3699999999999"/>
    <s v="New"/>
    <x v="6"/>
    <x v="0"/>
    <x v="1"/>
    <x v="4"/>
  </r>
  <r>
    <n v="1024"/>
    <x v="104"/>
    <x v="1"/>
    <x v="2"/>
    <n v="1221.7"/>
    <n v="42"/>
    <x v="3"/>
    <n v="1586.02"/>
    <n v="2047.13"/>
    <s v="New"/>
    <x v="26"/>
    <x v="0"/>
    <x v="1"/>
    <x v="2"/>
  </r>
  <r>
    <n v="1032"/>
    <x v="232"/>
    <x v="3"/>
    <x v="3"/>
    <n v="4095.65"/>
    <n v="11"/>
    <x v="1"/>
    <n v="2025.67"/>
    <n v="2081.5500000000002"/>
    <s v="New"/>
    <x v="29"/>
    <x v="1"/>
    <x v="0"/>
    <x v="14"/>
  </r>
  <r>
    <n v="1047"/>
    <x v="197"/>
    <x v="1"/>
    <x v="0"/>
    <n v="7405.06"/>
    <n v="43"/>
    <x v="3"/>
    <n v="1249.17"/>
    <n v="1727.15"/>
    <s v="New"/>
    <x v="4"/>
    <x v="0"/>
    <x v="1"/>
    <x v="11"/>
  </r>
  <r>
    <n v="1086"/>
    <x v="233"/>
    <x v="0"/>
    <x v="0"/>
    <n v="7075.09"/>
    <n v="17"/>
    <x v="1"/>
    <n v="1057.27"/>
    <n v="1366.62"/>
    <s v="New"/>
    <x v="5"/>
    <x v="2"/>
    <x v="1"/>
    <x v="0"/>
  </r>
  <r>
    <n v="1023"/>
    <x v="234"/>
    <x v="1"/>
    <x v="2"/>
    <n v="4285.01"/>
    <n v="32"/>
    <x v="3"/>
    <n v="4775.04"/>
    <n v="4785.66"/>
    <s v="New"/>
    <x v="21"/>
    <x v="0"/>
    <x v="0"/>
    <x v="2"/>
  </r>
  <r>
    <n v="1066"/>
    <x v="235"/>
    <x v="4"/>
    <x v="2"/>
    <n v="3530.59"/>
    <n v="4"/>
    <x v="0"/>
    <n v="4596.68"/>
    <n v="5044.74"/>
    <s v="New"/>
    <x v="30"/>
    <x v="1"/>
    <x v="0"/>
    <x v="9"/>
  </r>
  <r>
    <n v="1027"/>
    <x v="236"/>
    <x v="0"/>
    <x v="3"/>
    <n v="4036.36"/>
    <n v="4"/>
    <x v="3"/>
    <n v="282.61"/>
    <n v="548.25"/>
    <s v="New"/>
    <x v="22"/>
    <x v="2"/>
    <x v="0"/>
    <x v="12"/>
  </r>
  <r>
    <n v="1002"/>
    <x v="21"/>
    <x v="0"/>
    <x v="3"/>
    <n v="2716.34"/>
    <n v="17"/>
    <x v="0"/>
    <n v="1727.12"/>
    <n v="1865.83"/>
    <s v="New"/>
    <x v="5"/>
    <x v="0"/>
    <x v="0"/>
    <x v="12"/>
  </r>
  <r>
    <n v="1090"/>
    <x v="168"/>
    <x v="3"/>
    <x v="0"/>
    <n v="2132.8000000000002"/>
    <n v="41"/>
    <x v="0"/>
    <n v="2055.4899999999998"/>
    <n v="2441.46"/>
    <s v="New"/>
    <x v="19"/>
    <x v="2"/>
    <x v="0"/>
    <x v="7"/>
  </r>
  <r>
    <n v="1017"/>
    <x v="157"/>
    <x v="2"/>
    <x v="2"/>
    <n v="4882.09"/>
    <n v="19"/>
    <x v="3"/>
    <n v="1233.1199999999999"/>
    <n v="1697.1899999999901"/>
    <s v="New"/>
    <x v="15"/>
    <x v="2"/>
    <x v="0"/>
    <x v="10"/>
  </r>
  <r>
    <n v="1033"/>
    <x v="237"/>
    <x v="0"/>
    <x v="2"/>
    <n v="2758.48"/>
    <n v="5"/>
    <x v="0"/>
    <n v="3162.92"/>
    <n v="3409.93"/>
    <s v="New"/>
    <x v="11"/>
    <x v="0"/>
    <x v="0"/>
    <x v="3"/>
  </r>
  <r>
    <n v="1009"/>
    <x v="238"/>
    <x v="2"/>
    <x v="2"/>
    <n v="2945.87"/>
    <n v="32"/>
    <x v="2"/>
    <n v="3219.88"/>
    <n v="3384.5"/>
    <s v="Returning"/>
    <x v="6"/>
    <x v="0"/>
    <x v="1"/>
    <x v="10"/>
  </r>
  <r>
    <n v="1043"/>
    <x v="186"/>
    <x v="1"/>
    <x v="3"/>
    <n v="6601.89"/>
    <n v="22"/>
    <x v="3"/>
    <n v="4260"/>
    <n v="4656.58"/>
    <s v="New"/>
    <x v="11"/>
    <x v="1"/>
    <x v="0"/>
    <x v="16"/>
  </r>
  <r>
    <n v="1048"/>
    <x v="62"/>
    <x v="4"/>
    <x v="2"/>
    <n v="9688.52"/>
    <n v="6"/>
    <x v="3"/>
    <n v="3717.3"/>
    <n v="4061.37"/>
    <s v="New"/>
    <x v="21"/>
    <x v="1"/>
    <x v="1"/>
    <x v="9"/>
  </r>
  <r>
    <n v="1039"/>
    <x v="37"/>
    <x v="3"/>
    <x v="0"/>
    <n v="6076.01"/>
    <n v="35"/>
    <x v="0"/>
    <n v="2735.74"/>
    <n v="3181.22999999999"/>
    <s v="New"/>
    <x v="15"/>
    <x v="2"/>
    <x v="1"/>
    <x v="7"/>
  </r>
  <r>
    <n v="1093"/>
    <x v="49"/>
    <x v="2"/>
    <x v="0"/>
    <n v="862.1"/>
    <n v="22"/>
    <x v="0"/>
    <n v="3285.25"/>
    <n v="3634.58"/>
    <s v="New"/>
    <x v="9"/>
    <x v="1"/>
    <x v="0"/>
    <x v="19"/>
  </r>
  <r>
    <n v="1042"/>
    <x v="239"/>
    <x v="0"/>
    <x v="3"/>
    <n v="848.28"/>
    <n v="1"/>
    <x v="3"/>
    <n v="1406.24"/>
    <n v="1535.57"/>
    <s v="New"/>
    <x v="4"/>
    <x v="2"/>
    <x v="1"/>
    <x v="12"/>
  </r>
  <r>
    <n v="1026"/>
    <x v="173"/>
    <x v="2"/>
    <x v="1"/>
    <n v="9519.09"/>
    <n v="20"/>
    <x v="2"/>
    <n v="2985.63"/>
    <n v="3452.14"/>
    <s v="New"/>
    <x v="22"/>
    <x v="2"/>
    <x v="1"/>
    <x v="5"/>
  </r>
  <r>
    <n v="1099"/>
    <x v="240"/>
    <x v="0"/>
    <x v="3"/>
    <n v="3043.18"/>
    <n v="22"/>
    <x v="0"/>
    <n v="2471.67"/>
    <n v="2533.04"/>
    <s v="Returning"/>
    <x v="3"/>
    <x v="1"/>
    <x v="1"/>
    <x v="12"/>
  </r>
  <r>
    <n v="1050"/>
    <x v="5"/>
    <x v="2"/>
    <x v="1"/>
    <n v="1011.46"/>
    <n v="48"/>
    <x v="0"/>
    <n v="710.06"/>
    <n v="851.349999999999"/>
    <s v="Returning"/>
    <x v="14"/>
    <x v="1"/>
    <x v="0"/>
    <x v="5"/>
  </r>
  <r>
    <n v="1025"/>
    <x v="64"/>
    <x v="0"/>
    <x v="2"/>
    <n v="6030.54"/>
    <n v="11"/>
    <x v="1"/>
    <n v="1250.5899999999999"/>
    <n v="1515.48999999999"/>
    <s v="Returning"/>
    <x v="5"/>
    <x v="1"/>
    <x v="1"/>
    <x v="3"/>
  </r>
  <r>
    <n v="1024"/>
    <x v="241"/>
    <x v="1"/>
    <x v="3"/>
    <n v="6274.12"/>
    <n v="13"/>
    <x v="2"/>
    <n v="1493.88"/>
    <n v="1781.09"/>
    <s v="New"/>
    <x v="14"/>
    <x v="0"/>
    <x v="1"/>
    <x v="16"/>
  </r>
  <r>
    <n v="1013"/>
    <x v="0"/>
    <x v="0"/>
    <x v="0"/>
    <n v="6520.2"/>
    <n v="42"/>
    <x v="2"/>
    <n v="4625.33"/>
    <n v="4642.83"/>
    <s v="New"/>
    <x v="27"/>
    <x v="2"/>
    <x v="0"/>
    <x v="0"/>
  </r>
  <r>
    <n v="1060"/>
    <x v="172"/>
    <x v="0"/>
    <x v="2"/>
    <n v="2747.28"/>
    <n v="3"/>
    <x v="3"/>
    <n v="1190.4100000000001"/>
    <n v="1582.89"/>
    <s v="New"/>
    <x v="3"/>
    <x v="2"/>
    <x v="1"/>
    <x v="3"/>
  </r>
  <r>
    <n v="1007"/>
    <x v="98"/>
    <x v="4"/>
    <x v="0"/>
    <n v="249.6"/>
    <n v="9"/>
    <x v="2"/>
    <n v="1481.76"/>
    <n v="1668.95"/>
    <s v="Returning"/>
    <x v="7"/>
    <x v="2"/>
    <x v="1"/>
    <x v="15"/>
  </r>
  <r>
    <n v="1057"/>
    <x v="115"/>
    <x v="0"/>
    <x v="2"/>
    <n v="9653.65"/>
    <n v="12"/>
    <x v="3"/>
    <n v="1878.3"/>
    <n v="2087.4499999999998"/>
    <s v="New"/>
    <x v="8"/>
    <x v="1"/>
    <x v="1"/>
    <x v="3"/>
  </r>
  <r>
    <n v="1036"/>
    <x v="85"/>
    <x v="4"/>
    <x v="3"/>
    <n v="2583.84"/>
    <n v="23"/>
    <x v="1"/>
    <n v="3335.53"/>
    <n v="3742.12"/>
    <s v="New"/>
    <x v="21"/>
    <x v="1"/>
    <x v="1"/>
    <x v="18"/>
  </r>
  <r>
    <n v="1045"/>
    <x v="202"/>
    <x v="3"/>
    <x v="1"/>
    <n v="6792.66"/>
    <n v="14"/>
    <x v="2"/>
    <n v="635.28"/>
    <n v="831.13"/>
    <s v="Returning"/>
    <x v="22"/>
    <x v="1"/>
    <x v="1"/>
    <x v="8"/>
  </r>
  <r>
    <n v="1020"/>
    <x v="167"/>
    <x v="4"/>
    <x v="2"/>
    <n v="7095.64"/>
    <n v="33"/>
    <x v="0"/>
    <n v="4772.03"/>
    <n v="4805.17"/>
    <s v="Returning"/>
    <x v="24"/>
    <x v="1"/>
    <x v="0"/>
    <x v="9"/>
  </r>
  <r>
    <n v="1065"/>
    <x v="242"/>
    <x v="1"/>
    <x v="1"/>
    <n v="6139.07"/>
    <n v="18"/>
    <x v="1"/>
    <n v="4334.58"/>
    <n v="4431.04"/>
    <s v="New"/>
    <x v="3"/>
    <x v="1"/>
    <x v="1"/>
    <x v="13"/>
  </r>
  <r>
    <n v="1008"/>
    <x v="182"/>
    <x v="4"/>
    <x v="2"/>
    <n v="3197.78"/>
    <n v="49"/>
    <x v="3"/>
    <n v="2907.22"/>
    <n v="3385.6099999999901"/>
    <s v="New"/>
    <x v="9"/>
    <x v="0"/>
    <x v="0"/>
    <x v="9"/>
  </r>
  <r>
    <n v="1016"/>
    <x v="243"/>
    <x v="3"/>
    <x v="0"/>
    <n v="2783.85"/>
    <n v="41"/>
    <x v="1"/>
    <n v="3386.49"/>
    <n v="3430.99"/>
    <s v="New"/>
    <x v="5"/>
    <x v="1"/>
    <x v="1"/>
    <x v="7"/>
  </r>
  <r>
    <n v="1014"/>
    <x v="163"/>
    <x v="1"/>
    <x v="0"/>
    <n v="6016.92"/>
    <n v="9"/>
    <x v="3"/>
    <n v="132.47"/>
    <n v="316.39"/>
    <s v="New"/>
    <x v="6"/>
    <x v="2"/>
    <x v="0"/>
    <x v="11"/>
  </r>
  <r>
    <n v="1076"/>
    <x v="155"/>
    <x v="2"/>
    <x v="2"/>
    <n v="8674.35"/>
    <n v="23"/>
    <x v="1"/>
    <n v="1727.78"/>
    <n v="1984.34"/>
    <s v="Returning"/>
    <x v="19"/>
    <x v="1"/>
    <x v="0"/>
    <x v="10"/>
  </r>
  <r>
    <n v="1087"/>
    <x v="39"/>
    <x v="2"/>
    <x v="1"/>
    <n v="9472.66"/>
    <n v="10"/>
    <x v="3"/>
    <n v="3988.52"/>
    <n v="4240.2299999999996"/>
    <s v="New"/>
    <x v="8"/>
    <x v="2"/>
    <x v="0"/>
    <x v="5"/>
  </r>
  <r>
    <n v="1015"/>
    <x v="244"/>
    <x v="4"/>
    <x v="3"/>
    <n v="1148.47"/>
    <n v="19"/>
    <x v="2"/>
    <n v="433.54"/>
    <n v="445.48"/>
    <s v="New"/>
    <x v="12"/>
    <x v="1"/>
    <x v="1"/>
    <x v="18"/>
  </r>
  <r>
    <n v="1092"/>
    <x v="74"/>
    <x v="4"/>
    <x v="3"/>
    <n v="1632.8"/>
    <n v="47"/>
    <x v="0"/>
    <n v="1447.45"/>
    <n v="1703.02"/>
    <s v="Returning"/>
    <x v="7"/>
    <x v="1"/>
    <x v="1"/>
    <x v="18"/>
  </r>
  <r>
    <n v="1098"/>
    <x v="238"/>
    <x v="3"/>
    <x v="0"/>
    <n v="9452.89"/>
    <n v="5"/>
    <x v="3"/>
    <n v="2947.22"/>
    <n v="3145.27"/>
    <s v="New"/>
    <x v="15"/>
    <x v="2"/>
    <x v="1"/>
    <x v="7"/>
  </r>
  <r>
    <n v="1066"/>
    <x v="245"/>
    <x v="3"/>
    <x v="3"/>
    <n v="7391.7"/>
    <n v="47"/>
    <x v="1"/>
    <n v="1319.24"/>
    <n v="1805.56"/>
    <s v="New"/>
    <x v="16"/>
    <x v="2"/>
    <x v="1"/>
    <x v="14"/>
  </r>
  <r>
    <n v="1032"/>
    <x v="104"/>
    <x v="0"/>
    <x v="0"/>
    <n v="8841.64"/>
    <n v="23"/>
    <x v="3"/>
    <n v="4673.1899999999996"/>
    <n v="4761.1799999999903"/>
    <s v="Returning"/>
    <x v="22"/>
    <x v="2"/>
    <x v="1"/>
    <x v="0"/>
  </r>
  <r>
    <n v="1087"/>
    <x v="117"/>
    <x v="3"/>
    <x v="3"/>
    <n v="2106.06"/>
    <n v="30"/>
    <x v="3"/>
    <n v="698.74"/>
    <n v="882.28"/>
    <s v="Returning"/>
    <x v="25"/>
    <x v="2"/>
    <x v="0"/>
    <x v="14"/>
  </r>
  <r>
    <n v="1063"/>
    <x v="46"/>
    <x v="0"/>
    <x v="2"/>
    <n v="5917.1"/>
    <n v="25"/>
    <x v="3"/>
    <n v="3997.1"/>
    <n v="4212.6499999999996"/>
    <s v="New"/>
    <x v="20"/>
    <x v="0"/>
    <x v="0"/>
    <x v="3"/>
  </r>
  <r>
    <n v="1086"/>
    <x v="246"/>
    <x v="1"/>
    <x v="0"/>
    <n v="7041.28"/>
    <n v="28"/>
    <x v="1"/>
    <n v="2564.35"/>
    <n v="2765.79"/>
    <s v="Returning"/>
    <x v="22"/>
    <x v="2"/>
    <x v="0"/>
    <x v="11"/>
  </r>
  <r>
    <n v="1051"/>
    <x v="247"/>
    <x v="4"/>
    <x v="0"/>
    <n v="6833.11"/>
    <n v="34"/>
    <x v="0"/>
    <n v="3764.14"/>
    <n v="4100.3999999999996"/>
    <s v="Returning"/>
    <x v="8"/>
    <x v="1"/>
    <x v="1"/>
    <x v="15"/>
  </r>
  <r>
    <n v="1025"/>
    <x v="248"/>
    <x v="1"/>
    <x v="2"/>
    <n v="4140.7"/>
    <n v="45"/>
    <x v="2"/>
    <n v="1588.04"/>
    <n v="1703.6399999999901"/>
    <s v="New"/>
    <x v="2"/>
    <x v="1"/>
    <x v="1"/>
    <x v="2"/>
  </r>
  <r>
    <n v="1058"/>
    <x v="249"/>
    <x v="3"/>
    <x v="0"/>
    <n v="252.41"/>
    <n v="48"/>
    <x v="0"/>
    <n v="2596.7199999999998"/>
    <n v="2715.0499999999902"/>
    <s v="Returning"/>
    <x v="14"/>
    <x v="0"/>
    <x v="0"/>
    <x v="7"/>
  </r>
  <r>
    <n v="1063"/>
    <x v="75"/>
    <x v="1"/>
    <x v="3"/>
    <n v="5870.97"/>
    <n v="47"/>
    <x v="3"/>
    <n v="4291.33"/>
    <n v="4658.6400000000003"/>
    <s v="New"/>
    <x v="19"/>
    <x v="2"/>
    <x v="1"/>
    <x v="16"/>
  </r>
  <r>
    <n v="1062"/>
    <x v="250"/>
    <x v="1"/>
    <x v="3"/>
    <n v="2605.71"/>
    <n v="25"/>
    <x v="1"/>
    <n v="2361.0500000000002"/>
    <n v="2616.19"/>
    <s v="New"/>
    <x v="23"/>
    <x v="1"/>
    <x v="1"/>
    <x v="16"/>
  </r>
  <r>
    <n v="1022"/>
    <x v="147"/>
    <x v="1"/>
    <x v="0"/>
    <n v="4557.5200000000004"/>
    <n v="10"/>
    <x v="0"/>
    <n v="1830.61"/>
    <n v="2044.04"/>
    <s v="New"/>
    <x v="1"/>
    <x v="0"/>
    <x v="0"/>
    <x v="11"/>
  </r>
  <r>
    <n v="1058"/>
    <x v="251"/>
    <x v="3"/>
    <x v="3"/>
    <n v="9580.0499999999993"/>
    <n v="14"/>
    <x v="3"/>
    <n v="2703.97"/>
    <n v="2796.8799999999901"/>
    <s v="New"/>
    <x v="9"/>
    <x v="1"/>
    <x v="0"/>
    <x v="14"/>
  </r>
  <r>
    <n v="1058"/>
    <x v="252"/>
    <x v="1"/>
    <x v="1"/>
    <n v="4050.45"/>
    <n v="42"/>
    <x v="2"/>
    <n v="3600.95"/>
    <n v="3702.8399999999901"/>
    <s v="Returning"/>
    <x v="30"/>
    <x v="0"/>
    <x v="1"/>
    <x v="13"/>
  </r>
  <r>
    <n v="1086"/>
    <x v="253"/>
    <x v="0"/>
    <x v="0"/>
    <n v="8414.0400000000009"/>
    <n v="46"/>
    <x v="2"/>
    <n v="2245.64"/>
    <n v="2260.81"/>
    <s v="New"/>
    <x v="11"/>
    <x v="0"/>
    <x v="1"/>
    <x v="0"/>
  </r>
  <r>
    <n v="1049"/>
    <x v="138"/>
    <x v="3"/>
    <x v="2"/>
    <n v="1966.55"/>
    <n v="30"/>
    <x v="2"/>
    <n v="4697.4399999999996"/>
    <n v="4752.24"/>
    <s v="New"/>
    <x v="24"/>
    <x v="2"/>
    <x v="0"/>
    <x v="6"/>
  </r>
  <r>
    <n v="1052"/>
    <x v="9"/>
    <x v="1"/>
    <x v="1"/>
    <n v="6757.36"/>
    <n v="41"/>
    <x v="3"/>
    <n v="1509.98"/>
    <n v="1792.83"/>
    <s v="New"/>
    <x v="14"/>
    <x v="0"/>
    <x v="1"/>
    <x v="13"/>
  </r>
  <r>
    <n v="1042"/>
    <x v="157"/>
    <x v="3"/>
    <x v="0"/>
    <n v="9772.3700000000008"/>
    <n v="25"/>
    <x v="1"/>
    <n v="2403.54"/>
    <n v="2850.56"/>
    <s v="New"/>
    <x v="9"/>
    <x v="1"/>
    <x v="0"/>
    <x v="7"/>
  </r>
  <r>
    <n v="1070"/>
    <x v="165"/>
    <x v="2"/>
    <x v="2"/>
    <n v="1108.74"/>
    <n v="14"/>
    <x v="0"/>
    <n v="3796.79"/>
    <n v="3947.5"/>
    <s v="Returning"/>
    <x v="19"/>
    <x v="1"/>
    <x v="0"/>
    <x v="10"/>
  </r>
  <r>
    <n v="1015"/>
    <x v="91"/>
    <x v="0"/>
    <x v="3"/>
    <n v="182.37"/>
    <n v="35"/>
    <x v="2"/>
    <n v="3461.15"/>
    <n v="3631.75"/>
    <s v="Returning"/>
    <x v="29"/>
    <x v="2"/>
    <x v="0"/>
    <x v="12"/>
  </r>
  <r>
    <n v="1054"/>
    <x v="87"/>
    <x v="1"/>
    <x v="2"/>
    <n v="4392.47"/>
    <n v="48"/>
    <x v="3"/>
    <n v="4325.0200000000004"/>
    <n v="4391.67"/>
    <s v="Returning"/>
    <x v="28"/>
    <x v="2"/>
    <x v="1"/>
    <x v="2"/>
  </r>
  <r>
    <n v="1060"/>
    <x v="142"/>
    <x v="2"/>
    <x v="1"/>
    <n v="1016.99"/>
    <n v="34"/>
    <x v="3"/>
    <n v="4984.21"/>
    <n v="5184.6400000000003"/>
    <s v="New"/>
    <x v="22"/>
    <x v="0"/>
    <x v="0"/>
    <x v="5"/>
  </r>
  <r>
    <n v="1097"/>
    <x v="254"/>
    <x v="2"/>
    <x v="3"/>
    <n v="7509.01"/>
    <n v="10"/>
    <x v="0"/>
    <n v="2162.9499999999998"/>
    <n v="2191.1899999999901"/>
    <s v="Returning"/>
    <x v="2"/>
    <x v="2"/>
    <x v="0"/>
    <x v="4"/>
  </r>
  <r>
    <n v="1008"/>
    <x v="55"/>
    <x v="3"/>
    <x v="0"/>
    <n v="9154.0300000000007"/>
    <n v="35"/>
    <x v="2"/>
    <n v="600.20000000000005"/>
    <n v="1059.82"/>
    <s v="Returning"/>
    <x v="12"/>
    <x v="1"/>
    <x v="1"/>
    <x v="7"/>
  </r>
  <r>
    <n v="1053"/>
    <x v="255"/>
    <x v="2"/>
    <x v="3"/>
    <n v="4396.8100000000004"/>
    <n v="11"/>
    <x v="3"/>
    <n v="200.56"/>
    <n v="540.38"/>
    <s v="New"/>
    <x v="13"/>
    <x v="1"/>
    <x v="0"/>
    <x v="4"/>
  </r>
  <r>
    <n v="1060"/>
    <x v="105"/>
    <x v="0"/>
    <x v="0"/>
    <n v="2661.25"/>
    <n v="11"/>
    <x v="0"/>
    <n v="3648.04"/>
    <n v="4143.51"/>
    <s v="Returning"/>
    <x v="22"/>
    <x v="2"/>
    <x v="1"/>
    <x v="0"/>
  </r>
  <r>
    <n v="1005"/>
    <x v="256"/>
    <x v="0"/>
    <x v="0"/>
    <n v="4400.59"/>
    <n v="21"/>
    <x v="1"/>
    <n v="4376.37"/>
    <n v="4818.95"/>
    <s v="New"/>
    <x v="11"/>
    <x v="2"/>
    <x v="1"/>
    <x v="0"/>
  </r>
  <r>
    <n v="1068"/>
    <x v="257"/>
    <x v="4"/>
    <x v="2"/>
    <n v="7262.13"/>
    <n v="21"/>
    <x v="1"/>
    <n v="1142.53"/>
    <n v="1384.3"/>
    <s v="Returning"/>
    <x v="3"/>
    <x v="2"/>
    <x v="1"/>
    <x v="9"/>
  </r>
  <r>
    <n v="1006"/>
    <x v="250"/>
    <x v="0"/>
    <x v="2"/>
    <n v="189.64"/>
    <n v="22"/>
    <x v="1"/>
    <n v="834.32"/>
    <n v="1098.97"/>
    <s v="Returning"/>
    <x v="22"/>
    <x v="0"/>
    <x v="0"/>
    <x v="3"/>
  </r>
  <r>
    <n v="1096"/>
    <x v="238"/>
    <x v="2"/>
    <x v="2"/>
    <n v="5935.59"/>
    <n v="45"/>
    <x v="2"/>
    <n v="357.92"/>
    <n v="461.3"/>
    <s v="Returning"/>
    <x v="24"/>
    <x v="0"/>
    <x v="0"/>
    <x v="10"/>
  </r>
  <r>
    <n v="1094"/>
    <x v="164"/>
    <x v="0"/>
    <x v="1"/>
    <n v="6171.59"/>
    <n v="7"/>
    <x v="0"/>
    <n v="4122.38"/>
    <n v="4358.78"/>
    <s v="Returning"/>
    <x v="16"/>
    <x v="1"/>
    <x v="1"/>
    <x v="1"/>
  </r>
  <r>
    <n v="1047"/>
    <x v="1"/>
    <x v="3"/>
    <x v="1"/>
    <n v="6413.11"/>
    <n v="17"/>
    <x v="0"/>
    <n v="1591.34"/>
    <n v="2043.82"/>
    <s v="New"/>
    <x v="12"/>
    <x v="0"/>
    <x v="1"/>
    <x v="8"/>
  </r>
  <r>
    <n v="1099"/>
    <x v="26"/>
    <x v="4"/>
    <x v="2"/>
    <n v="2496.02"/>
    <n v="2"/>
    <x v="3"/>
    <n v="2038.4"/>
    <n v="2073.3200000000002"/>
    <s v="New"/>
    <x v="28"/>
    <x v="0"/>
    <x v="1"/>
    <x v="9"/>
  </r>
  <r>
    <n v="1055"/>
    <x v="234"/>
    <x v="2"/>
    <x v="1"/>
    <n v="7169.12"/>
    <n v="12"/>
    <x v="3"/>
    <n v="2538.61"/>
    <n v="2971.75"/>
    <s v="Returning"/>
    <x v="19"/>
    <x v="0"/>
    <x v="0"/>
    <x v="5"/>
  </r>
  <r>
    <n v="1040"/>
    <x v="83"/>
    <x v="4"/>
    <x v="3"/>
    <n v="1004.78"/>
    <n v="42"/>
    <x v="3"/>
    <n v="4205.29"/>
    <n v="4382.3500000000004"/>
    <s v="New"/>
    <x v="26"/>
    <x v="0"/>
    <x v="1"/>
    <x v="18"/>
  </r>
  <r>
    <n v="1052"/>
    <x v="258"/>
    <x v="2"/>
    <x v="3"/>
    <n v="2072.7800000000002"/>
    <n v="18"/>
    <x v="0"/>
    <n v="3271.62"/>
    <n v="3722.38"/>
    <s v="Returning"/>
    <x v="27"/>
    <x v="1"/>
    <x v="1"/>
    <x v="4"/>
  </r>
  <r>
    <n v="1016"/>
    <x v="15"/>
    <x v="3"/>
    <x v="1"/>
    <n v="8786.9500000000007"/>
    <n v="11"/>
    <x v="3"/>
    <n v="3094.57"/>
    <n v="3565.6"/>
    <s v="Returning"/>
    <x v="15"/>
    <x v="2"/>
    <x v="1"/>
    <x v="8"/>
  </r>
  <r>
    <n v="1013"/>
    <x v="259"/>
    <x v="4"/>
    <x v="1"/>
    <n v="7413.36"/>
    <n v="16"/>
    <x v="0"/>
    <n v="919.58"/>
    <n v="1258.3"/>
    <s v="Returning"/>
    <x v="6"/>
    <x v="1"/>
    <x v="0"/>
    <x v="17"/>
  </r>
  <r>
    <n v="1030"/>
    <x v="33"/>
    <x v="1"/>
    <x v="3"/>
    <n v="236.08"/>
    <n v="49"/>
    <x v="0"/>
    <n v="2590.29"/>
    <n v="2925.86"/>
    <s v="Returning"/>
    <x v="16"/>
    <x v="0"/>
    <x v="1"/>
    <x v="16"/>
  </r>
  <r>
    <n v="1019"/>
    <x v="208"/>
    <x v="2"/>
    <x v="0"/>
    <n v="2558.92"/>
    <n v="18"/>
    <x v="1"/>
    <n v="3591.14"/>
    <n v="3822.99"/>
    <s v="Returning"/>
    <x v="0"/>
    <x v="2"/>
    <x v="0"/>
    <x v="19"/>
  </r>
  <r>
    <n v="1017"/>
    <x v="141"/>
    <x v="1"/>
    <x v="3"/>
    <n v="2222.62"/>
    <n v="35"/>
    <x v="3"/>
    <n v="4867.6400000000003"/>
    <n v="5287.05"/>
    <s v="Returning"/>
    <x v="24"/>
    <x v="2"/>
    <x v="0"/>
    <x v="16"/>
  </r>
  <r>
    <n v="1063"/>
    <x v="257"/>
    <x v="4"/>
    <x v="3"/>
    <n v="2780.98"/>
    <n v="26"/>
    <x v="1"/>
    <n v="1046.96"/>
    <n v="1528.15"/>
    <s v="New"/>
    <x v="17"/>
    <x v="2"/>
    <x v="1"/>
    <x v="18"/>
  </r>
  <r>
    <n v="1019"/>
    <x v="169"/>
    <x v="1"/>
    <x v="1"/>
    <n v="2550.84"/>
    <n v="16"/>
    <x v="2"/>
    <n v="97.24"/>
    <n v="487.03"/>
    <s v="New"/>
    <x v="20"/>
    <x v="1"/>
    <x v="1"/>
    <x v="13"/>
  </r>
  <r>
    <n v="1092"/>
    <x v="181"/>
    <x v="1"/>
    <x v="3"/>
    <n v="719.01"/>
    <n v="6"/>
    <x v="2"/>
    <n v="422.74"/>
    <n v="737.49"/>
    <s v="Returning"/>
    <x v="27"/>
    <x v="2"/>
    <x v="1"/>
    <x v="16"/>
  </r>
  <r>
    <n v="1058"/>
    <x v="13"/>
    <x v="4"/>
    <x v="1"/>
    <n v="4643.51"/>
    <n v="44"/>
    <x v="2"/>
    <n v="1910.47"/>
    <n v="2217.8000000000002"/>
    <s v="New"/>
    <x v="20"/>
    <x v="1"/>
    <x v="0"/>
    <x v="17"/>
  </r>
  <r>
    <n v="1055"/>
    <x v="233"/>
    <x v="3"/>
    <x v="1"/>
    <n v="7354.06"/>
    <n v="43"/>
    <x v="0"/>
    <n v="4111.7"/>
    <n v="4537.9399999999996"/>
    <s v="Returning"/>
    <x v="9"/>
    <x v="1"/>
    <x v="0"/>
    <x v="8"/>
  </r>
  <r>
    <n v="1090"/>
    <x v="168"/>
    <x v="1"/>
    <x v="2"/>
    <n v="6106.64"/>
    <n v="47"/>
    <x v="0"/>
    <n v="85.35"/>
    <n v="360.539999999999"/>
    <s v="New"/>
    <x v="24"/>
    <x v="0"/>
    <x v="0"/>
    <x v="2"/>
  </r>
  <r>
    <n v="1090"/>
    <x v="260"/>
    <x v="1"/>
    <x v="3"/>
    <n v="6761.43"/>
    <n v="47"/>
    <x v="0"/>
    <n v="2310.8200000000002"/>
    <n v="2714.71"/>
    <s v="New"/>
    <x v="27"/>
    <x v="0"/>
    <x v="1"/>
    <x v="16"/>
  </r>
  <r>
    <n v="1062"/>
    <x v="233"/>
    <x v="3"/>
    <x v="0"/>
    <n v="903.38"/>
    <n v="48"/>
    <x v="3"/>
    <n v="1679.69"/>
    <n v="1939.04"/>
    <s v="New"/>
    <x v="0"/>
    <x v="2"/>
    <x v="0"/>
    <x v="7"/>
  </r>
  <r>
    <n v="1023"/>
    <x v="87"/>
    <x v="1"/>
    <x v="2"/>
    <n v="9519.76"/>
    <n v="42"/>
    <x v="1"/>
    <n v="309.77999999999997"/>
    <n v="350.38"/>
    <s v="Returning"/>
    <x v="27"/>
    <x v="2"/>
    <x v="1"/>
    <x v="2"/>
  </r>
  <r>
    <n v="1009"/>
    <x v="172"/>
    <x v="1"/>
    <x v="1"/>
    <n v="8401.07"/>
    <n v="12"/>
    <x v="0"/>
    <n v="2278.67"/>
    <n v="2476.8000000000002"/>
    <s v="New"/>
    <x v="0"/>
    <x v="0"/>
    <x v="1"/>
    <x v="13"/>
  </r>
  <r>
    <n v="1012"/>
    <x v="261"/>
    <x v="1"/>
    <x v="1"/>
    <n v="8070.39"/>
    <n v="13"/>
    <x v="1"/>
    <n v="1311.01"/>
    <n v="1538.79"/>
    <s v="Returning"/>
    <x v="0"/>
    <x v="1"/>
    <x v="1"/>
    <x v="13"/>
  </r>
  <r>
    <n v="1001"/>
    <x v="262"/>
    <x v="0"/>
    <x v="0"/>
    <n v="8247.5400000000009"/>
    <n v="4"/>
    <x v="1"/>
    <n v="1791.83"/>
    <n v="1871.22"/>
    <s v="Returning"/>
    <x v="7"/>
    <x v="1"/>
    <x v="0"/>
    <x v="0"/>
  </r>
  <r>
    <n v="1058"/>
    <x v="263"/>
    <x v="3"/>
    <x v="1"/>
    <n v="9333.83"/>
    <n v="39"/>
    <x v="1"/>
    <n v="3542.8"/>
    <n v="3603.02"/>
    <s v="Returning"/>
    <x v="16"/>
    <x v="0"/>
    <x v="0"/>
    <x v="8"/>
  </r>
  <r>
    <n v="1001"/>
    <x v="106"/>
    <x v="1"/>
    <x v="3"/>
    <n v="5488.11"/>
    <n v="2"/>
    <x v="3"/>
    <n v="2631.68"/>
    <n v="2904.06"/>
    <s v="New"/>
    <x v="25"/>
    <x v="1"/>
    <x v="0"/>
    <x v="16"/>
  </r>
  <r>
    <n v="1034"/>
    <x v="5"/>
    <x v="3"/>
    <x v="2"/>
    <n v="2082.79"/>
    <n v="26"/>
    <x v="3"/>
    <n v="667"/>
    <n v="718.72"/>
    <s v="New"/>
    <x v="2"/>
    <x v="0"/>
    <x v="1"/>
    <x v="6"/>
  </r>
  <r>
    <n v="1096"/>
    <x v="170"/>
    <x v="2"/>
    <x v="1"/>
    <n v="6206.16"/>
    <n v="27"/>
    <x v="2"/>
    <n v="4809"/>
    <n v="4967.4399999999996"/>
    <s v="New"/>
    <x v="7"/>
    <x v="0"/>
    <x v="0"/>
    <x v="5"/>
  </r>
  <r>
    <n v="1048"/>
    <x v="118"/>
    <x v="2"/>
    <x v="1"/>
    <n v="7454.53"/>
    <n v="27"/>
    <x v="2"/>
    <n v="3197.76"/>
    <n v="3572.61"/>
    <s v="Returning"/>
    <x v="4"/>
    <x v="2"/>
    <x v="0"/>
    <x v="5"/>
  </r>
  <r>
    <n v="1089"/>
    <x v="96"/>
    <x v="1"/>
    <x v="0"/>
    <n v="7405.38"/>
    <n v="15"/>
    <x v="1"/>
    <n v="3841.05"/>
    <n v="4323.62"/>
    <s v="Returning"/>
    <x v="12"/>
    <x v="2"/>
    <x v="1"/>
    <x v="11"/>
  </r>
  <r>
    <n v="1001"/>
    <x v="198"/>
    <x v="3"/>
    <x v="3"/>
    <n v="5262.35"/>
    <n v="8"/>
    <x v="2"/>
    <n v="442.11"/>
    <n v="803.87"/>
    <s v="New"/>
    <x v="13"/>
    <x v="0"/>
    <x v="1"/>
    <x v="14"/>
  </r>
  <r>
    <n v="1016"/>
    <x v="14"/>
    <x v="3"/>
    <x v="1"/>
    <n v="777.74"/>
    <n v="7"/>
    <x v="1"/>
    <n v="282.94"/>
    <n v="779.32999999999902"/>
    <s v="Returning"/>
    <x v="24"/>
    <x v="2"/>
    <x v="0"/>
    <x v="8"/>
  </r>
  <r>
    <n v="1061"/>
    <x v="264"/>
    <x v="3"/>
    <x v="0"/>
    <n v="3774.02"/>
    <n v="47"/>
    <x v="3"/>
    <n v="146.27000000000001"/>
    <n v="498.46"/>
    <s v="New"/>
    <x v="18"/>
    <x v="0"/>
    <x v="1"/>
    <x v="7"/>
  </r>
  <r>
    <n v="1064"/>
    <x v="72"/>
    <x v="0"/>
    <x v="1"/>
    <n v="9215.59"/>
    <n v="46"/>
    <x v="3"/>
    <n v="984.53"/>
    <n v="1138.49"/>
    <s v="New"/>
    <x v="14"/>
    <x v="1"/>
    <x v="0"/>
    <x v="1"/>
  </r>
  <r>
    <n v="1063"/>
    <x v="265"/>
    <x v="2"/>
    <x v="0"/>
    <n v="5886.04"/>
    <n v="40"/>
    <x v="3"/>
    <n v="2101.3200000000002"/>
    <n v="2440.63"/>
    <s v="New"/>
    <x v="16"/>
    <x v="1"/>
    <x v="1"/>
    <x v="19"/>
  </r>
  <r>
    <n v="1069"/>
    <x v="266"/>
    <x v="3"/>
    <x v="0"/>
    <n v="5429.49"/>
    <n v="12"/>
    <x v="0"/>
    <n v="4682.34"/>
    <n v="5036.3999999999996"/>
    <s v="New"/>
    <x v="2"/>
    <x v="1"/>
    <x v="1"/>
    <x v="7"/>
  </r>
  <r>
    <n v="1022"/>
    <x v="267"/>
    <x v="3"/>
    <x v="3"/>
    <n v="2761.65"/>
    <n v="13"/>
    <x v="1"/>
    <n v="2312.4499999999998"/>
    <n v="2504.6"/>
    <s v="Returning"/>
    <x v="18"/>
    <x v="1"/>
    <x v="0"/>
    <x v="14"/>
  </r>
  <r>
    <n v="1093"/>
    <x v="51"/>
    <x v="0"/>
    <x v="1"/>
    <n v="3747.64"/>
    <n v="43"/>
    <x v="3"/>
    <n v="1486.76"/>
    <n v="1505.44"/>
    <s v="New"/>
    <x v="4"/>
    <x v="0"/>
    <x v="1"/>
    <x v="1"/>
  </r>
  <r>
    <n v="1067"/>
    <x v="6"/>
    <x v="0"/>
    <x v="3"/>
    <n v="8963.93"/>
    <n v="17"/>
    <x v="1"/>
    <n v="2831.58"/>
    <n v="3186.15"/>
    <s v="New"/>
    <x v="19"/>
    <x v="1"/>
    <x v="1"/>
    <x v="12"/>
  </r>
  <r>
    <n v="1076"/>
    <x v="268"/>
    <x v="3"/>
    <x v="0"/>
    <n v="6697.98"/>
    <n v="17"/>
    <x v="2"/>
    <n v="604.08000000000004"/>
    <n v="624.71"/>
    <s v="New"/>
    <x v="6"/>
    <x v="1"/>
    <x v="1"/>
    <x v="7"/>
  </r>
  <r>
    <n v="1026"/>
    <x v="82"/>
    <x v="4"/>
    <x v="2"/>
    <n v="7895.13"/>
    <n v="36"/>
    <x v="2"/>
    <n v="3067.05"/>
    <n v="3386.33"/>
    <s v="New"/>
    <x v="2"/>
    <x v="1"/>
    <x v="0"/>
    <x v="9"/>
  </r>
  <r>
    <n v="1016"/>
    <x v="172"/>
    <x v="3"/>
    <x v="1"/>
    <n v="4598.0200000000004"/>
    <n v="21"/>
    <x v="3"/>
    <n v="2863.74"/>
    <n v="2953.91"/>
    <s v="New"/>
    <x v="15"/>
    <x v="1"/>
    <x v="1"/>
    <x v="8"/>
  </r>
  <r>
    <n v="1051"/>
    <x v="128"/>
    <x v="3"/>
    <x v="2"/>
    <n v="6339.45"/>
    <n v="8"/>
    <x v="1"/>
    <n v="3970.37"/>
    <n v="4257.5199999999904"/>
    <s v="New"/>
    <x v="1"/>
    <x v="0"/>
    <x v="1"/>
    <x v="6"/>
  </r>
  <r>
    <n v="1086"/>
    <x v="269"/>
    <x v="0"/>
    <x v="1"/>
    <n v="2559"/>
    <n v="5"/>
    <x v="3"/>
    <n v="4934.1000000000004"/>
    <n v="5191.0200000000004"/>
    <s v="New"/>
    <x v="23"/>
    <x v="1"/>
    <x v="0"/>
    <x v="1"/>
  </r>
  <r>
    <n v="1057"/>
    <x v="27"/>
    <x v="0"/>
    <x v="3"/>
    <n v="7084.06"/>
    <n v="26"/>
    <x v="2"/>
    <n v="1291.82"/>
    <n v="1308.4399999999901"/>
    <s v="Returning"/>
    <x v="17"/>
    <x v="2"/>
    <x v="0"/>
    <x v="12"/>
  </r>
  <r>
    <n v="1029"/>
    <x v="131"/>
    <x v="3"/>
    <x v="3"/>
    <n v="4333.25"/>
    <n v="16"/>
    <x v="3"/>
    <n v="2572.8000000000002"/>
    <n v="2760.6"/>
    <s v="Returning"/>
    <x v="25"/>
    <x v="2"/>
    <x v="1"/>
    <x v="14"/>
  </r>
  <r>
    <n v="1078"/>
    <x v="267"/>
    <x v="3"/>
    <x v="3"/>
    <n v="4481.2"/>
    <n v="36"/>
    <x v="1"/>
    <n v="4548.88"/>
    <n v="4853.41"/>
    <s v="Returning"/>
    <x v="26"/>
    <x v="2"/>
    <x v="1"/>
    <x v="14"/>
  </r>
  <r>
    <n v="1092"/>
    <x v="24"/>
    <x v="3"/>
    <x v="3"/>
    <n v="6528.29"/>
    <n v="28"/>
    <x v="2"/>
    <n v="3936.69"/>
    <n v="4362.51"/>
    <s v="Returning"/>
    <x v="17"/>
    <x v="2"/>
    <x v="1"/>
    <x v="14"/>
  </r>
  <r>
    <n v="1069"/>
    <x v="270"/>
    <x v="0"/>
    <x v="3"/>
    <n v="9369.18"/>
    <n v="29"/>
    <x v="0"/>
    <n v="2462.66"/>
    <n v="2908.0899999999901"/>
    <s v="New"/>
    <x v="7"/>
    <x v="2"/>
    <x v="0"/>
    <x v="12"/>
  </r>
  <r>
    <n v="1047"/>
    <x v="133"/>
    <x v="3"/>
    <x v="2"/>
    <n v="733.66"/>
    <n v="47"/>
    <x v="2"/>
    <n v="4729.59"/>
    <n v="4976.68"/>
    <s v="Returning"/>
    <x v="13"/>
    <x v="2"/>
    <x v="1"/>
    <x v="6"/>
  </r>
  <r>
    <n v="1094"/>
    <x v="100"/>
    <x v="3"/>
    <x v="3"/>
    <n v="8264.9599999999991"/>
    <n v="12"/>
    <x v="0"/>
    <n v="333.32"/>
    <n v="700.25"/>
    <s v="Returning"/>
    <x v="6"/>
    <x v="0"/>
    <x v="0"/>
    <x v="14"/>
  </r>
  <r>
    <n v="1062"/>
    <x v="2"/>
    <x v="1"/>
    <x v="0"/>
    <n v="2994.59"/>
    <n v="37"/>
    <x v="3"/>
    <n v="4658.4399999999996"/>
    <n v="4823.5"/>
    <s v="Returning"/>
    <x v="6"/>
    <x v="2"/>
    <x v="0"/>
    <x v="11"/>
  </r>
  <r>
    <n v="1069"/>
    <x v="165"/>
    <x v="4"/>
    <x v="0"/>
    <n v="4494.8"/>
    <n v="30"/>
    <x v="3"/>
    <n v="300.01"/>
    <n v="477.67999999999898"/>
    <s v="New"/>
    <x v="1"/>
    <x v="1"/>
    <x v="1"/>
    <x v="15"/>
  </r>
  <r>
    <n v="1076"/>
    <x v="228"/>
    <x v="2"/>
    <x v="2"/>
    <n v="316.94"/>
    <n v="23"/>
    <x v="1"/>
    <n v="2759.16"/>
    <n v="2864.45"/>
    <s v="Returning"/>
    <x v="13"/>
    <x v="2"/>
    <x v="1"/>
    <x v="10"/>
  </r>
  <r>
    <n v="1016"/>
    <x v="186"/>
    <x v="4"/>
    <x v="1"/>
    <n v="3080.36"/>
    <n v="16"/>
    <x v="0"/>
    <n v="4457.68"/>
    <n v="4743.03"/>
    <s v="Returning"/>
    <x v="27"/>
    <x v="0"/>
    <x v="0"/>
    <x v="17"/>
  </r>
  <r>
    <n v="1090"/>
    <x v="18"/>
    <x v="1"/>
    <x v="0"/>
    <n v="5076.05"/>
    <n v="14"/>
    <x v="3"/>
    <n v="1350.47"/>
    <n v="1514.61"/>
    <s v="New"/>
    <x v="2"/>
    <x v="2"/>
    <x v="1"/>
    <x v="11"/>
  </r>
  <r>
    <n v="1090"/>
    <x v="144"/>
    <x v="2"/>
    <x v="1"/>
    <n v="656.14"/>
    <n v="10"/>
    <x v="0"/>
    <n v="2387.63"/>
    <n v="2438.9699999999998"/>
    <s v="Returning"/>
    <x v="3"/>
    <x v="1"/>
    <x v="1"/>
    <x v="5"/>
  </r>
  <r>
    <n v="1048"/>
    <x v="170"/>
    <x v="3"/>
    <x v="2"/>
    <n v="4961.8500000000004"/>
    <n v="7"/>
    <x v="3"/>
    <n v="1655.43"/>
    <n v="2001.08"/>
    <s v="New"/>
    <x v="27"/>
    <x v="1"/>
    <x v="0"/>
    <x v="6"/>
  </r>
  <r>
    <n v="1085"/>
    <x v="103"/>
    <x v="1"/>
    <x v="1"/>
    <n v="9278.4"/>
    <n v="45"/>
    <x v="2"/>
    <n v="4763.1099999999997"/>
    <n v="5119.91"/>
    <s v="Returning"/>
    <x v="12"/>
    <x v="0"/>
    <x v="1"/>
    <x v="13"/>
  </r>
  <r>
    <n v="1039"/>
    <x v="245"/>
    <x v="3"/>
    <x v="1"/>
    <n v="1143.3900000000001"/>
    <n v="37"/>
    <x v="3"/>
    <n v="4127.05"/>
    <n v="4313.45"/>
    <s v="New"/>
    <x v="28"/>
    <x v="0"/>
    <x v="0"/>
    <x v="8"/>
  </r>
  <r>
    <n v="1100"/>
    <x v="114"/>
    <x v="0"/>
    <x v="1"/>
    <n v="7667.96"/>
    <n v="29"/>
    <x v="1"/>
    <n v="3559.56"/>
    <n v="3607.15"/>
    <s v="Returning"/>
    <x v="5"/>
    <x v="0"/>
    <x v="1"/>
    <x v="1"/>
  </r>
  <r>
    <n v="1033"/>
    <x v="229"/>
    <x v="1"/>
    <x v="1"/>
    <n v="4155.74"/>
    <n v="3"/>
    <x v="2"/>
    <n v="2958.75"/>
    <n v="3177.64"/>
    <s v="Returning"/>
    <x v="22"/>
    <x v="0"/>
    <x v="0"/>
    <x v="13"/>
  </r>
  <r>
    <n v="1094"/>
    <x v="13"/>
    <x v="0"/>
    <x v="2"/>
    <n v="6586.22"/>
    <n v="15"/>
    <x v="1"/>
    <n v="4111.93"/>
    <n v="4338.67"/>
    <s v="Returning"/>
    <x v="16"/>
    <x v="2"/>
    <x v="0"/>
    <x v="3"/>
  </r>
  <r>
    <n v="1023"/>
    <x v="45"/>
    <x v="1"/>
    <x v="0"/>
    <n v="2676.34"/>
    <n v="36"/>
    <x v="2"/>
    <n v="1991.72"/>
    <n v="2329.37"/>
    <s v="New"/>
    <x v="24"/>
    <x v="2"/>
    <x v="1"/>
    <x v="11"/>
  </r>
  <r>
    <n v="1010"/>
    <x v="57"/>
    <x v="1"/>
    <x v="3"/>
    <n v="1678.97"/>
    <n v="47"/>
    <x v="0"/>
    <n v="2265.38"/>
    <n v="2429.9299999999998"/>
    <s v="Returning"/>
    <x v="18"/>
    <x v="1"/>
    <x v="0"/>
    <x v="16"/>
  </r>
  <r>
    <n v="1069"/>
    <x v="108"/>
    <x v="0"/>
    <x v="1"/>
    <n v="1688.58"/>
    <n v="46"/>
    <x v="1"/>
    <n v="3663.51"/>
    <n v="4007.98"/>
    <s v="New"/>
    <x v="9"/>
    <x v="0"/>
    <x v="0"/>
    <x v="1"/>
  </r>
  <r>
    <n v="1100"/>
    <x v="199"/>
    <x v="2"/>
    <x v="0"/>
    <n v="797.87"/>
    <n v="19"/>
    <x v="3"/>
    <n v="1820.89"/>
    <n v="2257.92"/>
    <s v="New"/>
    <x v="7"/>
    <x v="0"/>
    <x v="1"/>
    <x v="19"/>
  </r>
  <r>
    <n v="1034"/>
    <x v="271"/>
    <x v="4"/>
    <x v="0"/>
    <n v="1937.9"/>
    <n v="13"/>
    <x v="0"/>
    <n v="366.31"/>
    <n v="492.68"/>
    <s v="New"/>
    <x v="7"/>
    <x v="2"/>
    <x v="1"/>
    <x v="15"/>
  </r>
  <r>
    <n v="1052"/>
    <x v="272"/>
    <x v="3"/>
    <x v="2"/>
    <n v="6675.77"/>
    <n v="42"/>
    <x v="3"/>
    <n v="417.96"/>
    <n v="907.63"/>
    <s v="New"/>
    <x v="14"/>
    <x v="0"/>
    <x v="1"/>
    <x v="6"/>
  </r>
  <r>
    <n v="1095"/>
    <x v="9"/>
    <x v="1"/>
    <x v="0"/>
    <n v="8828.74"/>
    <n v="21"/>
    <x v="2"/>
    <n v="621.04999999999995"/>
    <n v="820.36999999999898"/>
    <s v="Returning"/>
    <x v="19"/>
    <x v="1"/>
    <x v="0"/>
    <x v="11"/>
  </r>
  <r>
    <n v="1010"/>
    <x v="126"/>
    <x v="3"/>
    <x v="2"/>
    <n v="8159.84"/>
    <n v="37"/>
    <x v="2"/>
    <n v="4354.92"/>
    <n v="4495.88"/>
    <s v="Returning"/>
    <x v="30"/>
    <x v="1"/>
    <x v="0"/>
    <x v="6"/>
  </r>
  <r>
    <n v="1019"/>
    <x v="259"/>
    <x v="0"/>
    <x v="1"/>
    <n v="6882.83"/>
    <n v="27"/>
    <x v="3"/>
    <n v="2387.52"/>
    <n v="2604.06"/>
    <s v="Returning"/>
    <x v="28"/>
    <x v="0"/>
    <x v="0"/>
    <x v="1"/>
  </r>
  <r>
    <n v="1058"/>
    <x v="93"/>
    <x v="3"/>
    <x v="1"/>
    <n v="1193.28"/>
    <n v="29"/>
    <x v="3"/>
    <n v="3578.77"/>
    <n v="3635.02"/>
    <s v="New"/>
    <x v="2"/>
    <x v="1"/>
    <x v="1"/>
    <x v="8"/>
  </r>
  <r>
    <n v="1096"/>
    <x v="38"/>
    <x v="0"/>
    <x v="3"/>
    <n v="2962.96"/>
    <n v="20"/>
    <x v="0"/>
    <n v="1994.9"/>
    <n v="2066.5"/>
    <s v="Returning"/>
    <x v="18"/>
    <x v="1"/>
    <x v="0"/>
    <x v="12"/>
  </r>
  <r>
    <n v="1001"/>
    <x v="167"/>
    <x v="3"/>
    <x v="3"/>
    <n v="3167.09"/>
    <n v="25"/>
    <x v="3"/>
    <n v="1330.62"/>
    <n v="1543.6899999999901"/>
    <s v="New"/>
    <x v="29"/>
    <x v="2"/>
    <x v="0"/>
    <x v="14"/>
  </r>
  <r>
    <n v="1069"/>
    <x v="212"/>
    <x v="4"/>
    <x v="3"/>
    <n v="2574.5700000000002"/>
    <n v="6"/>
    <x v="1"/>
    <n v="1768.6"/>
    <n v="2152.1999999999998"/>
    <s v="New"/>
    <x v="26"/>
    <x v="1"/>
    <x v="1"/>
    <x v="18"/>
  </r>
  <r>
    <n v="1004"/>
    <x v="28"/>
    <x v="4"/>
    <x v="0"/>
    <n v="5198.5600000000004"/>
    <n v="36"/>
    <x v="1"/>
    <n v="3981.2"/>
    <n v="4432.3499999999904"/>
    <s v="New"/>
    <x v="6"/>
    <x v="0"/>
    <x v="0"/>
    <x v="15"/>
  </r>
  <r>
    <n v="1016"/>
    <x v="273"/>
    <x v="4"/>
    <x v="1"/>
    <n v="5401.98"/>
    <n v="2"/>
    <x v="3"/>
    <n v="3144.82"/>
    <n v="3480.58"/>
    <s v="Returning"/>
    <x v="7"/>
    <x v="0"/>
    <x v="1"/>
    <x v="17"/>
  </r>
  <r>
    <n v="1024"/>
    <x v="90"/>
    <x v="4"/>
    <x v="2"/>
    <n v="3633.17"/>
    <n v="22"/>
    <x v="1"/>
    <n v="4691.32"/>
    <n v="4752.88"/>
    <s v="Returning"/>
    <x v="17"/>
    <x v="1"/>
    <x v="1"/>
    <x v="9"/>
  </r>
  <r>
    <n v="1080"/>
    <x v="12"/>
    <x v="4"/>
    <x v="3"/>
    <n v="3602.51"/>
    <n v="32"/>
    <x v="3"/>
    <n v="3414.54"/>
    <n v="3753.83"/>
    <s v="New"/>
    <x v="20"/>
    <x v="0"/>
    <x v="1"/>
    <x v="18"/>
  </r>
  <r>
    <n v="1002"/>
    <x v="186"/>
    <x v="4"/>
    <x v="2"/>
    <n v="8302.7000000000007"/>
    <n v="16"/>
    <x v="0"/>
    <n v="2872.4"/>
    <n v="3193.76"/>
    <s v="Returning"/>
    <x v="14"/>
    <x v="2"/>
    <x v="0"/>
    <x v="9"/>
  </r>
  <r>
    <n v="1092"/>
    <x v="218"/>
    <x v="0"/>
    <x v="2"/>
    <n v="7914"/>
    <n v="18"/>
    <x v="1"/>
    <n v="3070.47"/>
    <n v="3475.29"/>
    <s v="Returning"/>
    <x v="2"/>
    <x v="1"/>
    <x v="0"/>
    <x v="3"/>
  </r>
  <r>
    <n v="1032"/>
    <x v="34"/>
    <x v="1"/>
    <x v="3"/>
    <n v="3147.18"/>
    <n v="5"/>
    <x v="1"/>
    <n v="4714.74"/>
    <n v="5129.1099999999997"/>
    <s v="New"/>
    <x v="26"/>
    <x v="1"/>
    <x v="0"/>
    <x v="16"/>
  </r>
  <r>
    <n v="1091"/>
    <x v="274"/>
    <x v="3"/>
    <x v="1"/>
    <n v="9146.51"/>
    <n v="36"/>
    <x v="3"/>
    <n v="3951.59"/>
    <n v="4387.01"/>
    <s v="New"/>
    <x v="17"/>
    <x v="1"/>
    <x v="1"/>
    <x v="8"/>
  </r>
  <r>
    <n v="1084"/>
    <x v="80"/>
    <x v="4"/>
    <x v="3"/>
    <n v="9532.8700000000008"/>
    <n v="30"/>
    <x v="1"/>
    <n v="169"/>
    <n v="381.91999999999899"/>
    <s v="Returning"/>
    <x v="16"/>
    <x v="0"/>
    <x v="1"/>
    <x v="18"/>
  </r>
  <r>
    <n v="1024"/>
    <x v="107"/>
    <x v="0"/>
    <x v="2"/>
    <n v="3334.75"/>
    <n v="45"/>
    <x v="2"/>
    <n v="2693.99"/>
    <n v="3045.9399999999901"/>
    <s v="New"/>
    <x v="30"/>
    <x v="0"/>
    <x v="1"/>
    <x v="3"/>
  </r>
  <r>
    <n v="1012"/>
    <x v="130"/>
    <x v="0"/>
    <x v="3"/>
    <n v="3608.81"/>
    <n v="19"/>
    <x v="0"/>
    <n v="3457.28"/>
    <n v="3598.72"/>
    <s v="New"/>
    <x v="29"/>
    <x v="1"/>
    <x v="0"/>
    <x v="12"/>
  </r>
  <r>
    <n v="1050"/>
    <x v="26"/>
    <x v="0"/>
    <x v="2"/>
    <n v="5105.78"/>
    <n v="23"/>
    <x v="0"/>
    <n v="3756.06"/>
    <n v="4255.7299999999996"/>
    <s v="Returning"/>
    <x v="14"/>
    <x v="0"/>
    <x v="0"/>
    <x v="3"/>
  </r>
  <r>
    <n v="1035"/>
    <x v="264"/>
    <x v="1"/>
    <x v="2"/>
    <n v="9417.1"/>
    <n v="34"/>
    <x v="1"/>
    <n v="1105.05"/>
    <n v="1200.96"/>
    <s v="Returning"/>
    <x v="27"/>
    <x v="0"/>
    <x v="0"/>
    <x v="2"/>
  </r>
  <r>
    <n v="1033"/>
    <x v="217"/>
    <x v="3"/>
    <x v="3"/>
    <n v="8775.56"/>
    <n v="13"/>
    <x v="1"/>
    <n v="4342.53"/>
    <n v="4357.49"/>
    <s v="New"/>
    <x v="4"/>
    <x v="1"/>
    <x v="0"/>
    <x v="14"/>
  </r>
  <r>
    <n v="1033"/>
    <x v="275"/>
    <x v="1"/>
    <x v="0"/>
    <n v="1115.42"/>
    <n v="43"/>
    <x v="2"/>
    <n v="4781.42"/>
    <n v="4864.34"/>
    <s v="Returning"/>
    <x v="26"/>
    <x v="1"/>
    <x v="0"/>
    <x v="11"/>
  </r>
  <r>
    <n v="1061"/>
    <x v="238"/>
    <x v="2"/>
    <x v="3"/>
    <n v="3988.03"/>
    <n v="29"/>
    <x v="2"/>
    <n v="1221.74"/>
    <n v="1611.92"/>
    <s v="New"/>
    <x v="25"/>
    <x v="0"/>
    <x v="1"/>
    <x v="4"/>
  </r>
  <r>
    <n v="1051"/>
    <x v="198"/>
    <x v="0"/>
    <x v="0"/>
    <n v="5578.37"/>
    <n v="36"/>
    <x v="1"/>
    <n v="4418.95"/>
    <n v="4647.87"/>
    <s v="New"/>
    <x v="14"/>
    <x v="1"/>
    <x v="0"/>
    <x v="0"/>
  </r>
  <r>
    <n v="1043"/>
    <x v="62"/>
    <x v="2"/>
    <x v="2"/>
    <n v="5081.01"/>
    <n v="22"/>
    <x v="1"/>
    <n v="530.04"/>
    <n v="759.31999999999903"/>
    <s v="Returning"/>
    <x v="22"/>
    <x v="1"/>
    <x v="1"/>
    <x v="10"/>
  </r>
  <r>
    <n v="1012"/>
    <x v="151"/>
    <x v="4"/>
    <x v="2"/>
    <n v="2019.24"/>
    <n v="47"/>
    <x v="2"/>
    <n v="325.75"/>
    <n v="803.71"/>
    <s v="New"/>
    <x v="7"/>
    <x v="1"/>
    <x v="1"/>
    <x v="9"/>
  </r>
  <r>
    <n v="1067"/>
    <x v="276"/>
    <x v="4"/>
    <x v="0"/>
    <n v="8602.2900000000009"/>
    <n v="36"/>
    <x v="3"/>
    <n v="689.66"/>
    <n v="1150.28"/>
    <s v="New"/>
    <x v="2"/>
    <x v="1"/>
    <x v="0"/>
    <x v="15"/>
  </r>
  <r>
    <n v="1065"/>
    <x v="174"/>
    <x v="1"/>
    <x v="2"/>
    <n v="6801.71"/>
    <n v="9"/>
    <x v="2"/>
    <n v="335.82"/>
    <n v="498.31"/>
    <s v="New"/>
    <x v="16"/>
    <x v="0"/>
    <x v="1"/>
    <x v="2"/>
  </r>
  <r>
    <n v="1033"/>
    <x v="118"/>
    <x v="3"/>
    <x v="0"/>
    <n v="8395.2900000000009"/>
    <n v="39"/>
    <x v="3"/>
    <n v="4232.8100000000004"/>
    <n v="4345.25"/>
    <s v="Returning"/>
    <x v="7"/>
    <x v="1"/>
    <x v="0"/>
    <x v="7"/>
  </r>
  <r>
    <n v="1040"/>
    <x v="120"/>
    <x v="2"/>
    <x v="0"/>
    <n v="8601.77"/>
    <n v="19"/>
    <x v="0"/>
    <n v="342.3"/>
    <n v="768.06"/>
    <s v="Returning"/>
    <x v="0"/>
    <x v="2"/>
    <x v="0"/>
    <x v="19"/>
  </r>
  <r>
    <n v="1074"/>
    <x v="21"/>
    <x v="3"/>
    <x v="2"/>
    <n v="7508.72"/>
    <n v="38"/>
    <x v="0"/>
    <n v="1394.74"/>
    <n v="1848.69"/>
    <s v="Returning"/>
    <x v="11"/>
    <x v="1"/>
    <x v="1"/>
    <x v="6"/>
  </r>
  <r>
    <n v="1043"/>
    <x v="89"/>
    <x v="1"/>
    <x v="1"/>
    <n v="4448.18"/>
    <n v="6"/>
    <x v="2"/>
    <n v="563.59"/>
    <n v="838.97"/>
    <s v="New"/>
    <x v="22"/>
    <x v="2"/>
    <x v="0"/>
    <x v="13"/>
  </r>
  <r>
    <n v="1044"/>
    <x v="150"/>
    <x v="4"/>
    <x v="0"/>
    <n v="6144.41"/>
    <n v="47"/>
    <x v="3"/>
    <n v="1512.34"/>
    <n v="1830.76"/>
    <s v="New"/>
    <x v="7"/>
    <x v="1"/>
    <x v="0"/>
    <x v="15"/>
  </r>
  <r>
    <n v="1029"/>
    <x v="67"/>
    <x v="3"/>
    <x v="3"/>
    <n v="1687.62"/>
    <n v="15"/>
    <x v="2"/>
    <n v="498.27"/>
    <n v="634.16"/>
    <s v="Returning"/>
    <x v="1"/>
    <x v="2"/>
    <x v="1"/>
    <x v="14"/>
  </r>
  <r>
    <n v="1013"/>
    <x v="271"/>
    <x v="3"/>
    <x v="3"/>
    <n v="6769.09"/>
    <n v="20"/>
    <x v="2"/>
    <n v="3356.62"/>
    <n v="3759.0099999999902"/>
    <s v="Returning"/>
    <x v="8"/>
    <x v="2"/>
    <x v="1"/>
    <x v="14"/>
  </r>
  <r>
    <n v="1012"/>
    <x v="264"/>
    <x v="4"/>
    <x v="2"/>
    <n v="1874.61"/>
    <n v="9"/>
    <x v="3"/>
    <n v="709.97"/>
    <n v="1029.71"/>
    <s v="Returning"/>
    <x v="9"/>
    <x v="1"/>
    <x v="1"/>
    <x v="9"/>
  </r>
  <r>
    <n v="1095"/>
    <x v="27"/>
    <x v="2"/>
    <x v="1"/>
    <n v="6970.1"/>
    <n v="32"/>
    <x v="2"/>
    <n v="4266.6400000000003"/>
    <n v="4523.3599999999997"/>
    <s v="New"/>
    <x v="23"/>
    <x v="1"/>
    <x v="1"/>
    <x v="5"/>
  </r>
  <r>
    <n v="1046"/>
    <x v="257"/>
    <x v="4"/>
    <x v="2"/>
    <n v="2373.02"/>
    <n v="4"/>
    <x v="0"/>
    <n v="4095.1"/>
    <n v="4134.55"/>
    <s v="Returning"/>
    <x v="0"/>
    <x v="1"/>
    <x v="1"/>
    <x v="9"/>
  </r>
  <r>
    <n v="1002"/>
    <x v="277"/>
    <x v="3"/>
    <x v="1"/>
    <n v="1263.76"/>
    <n v="18"/>
    <x v="1"/>
    <n v="117.63"/>
    <n v="576.44000000000005"/>
    <s v="New"/>
    <x v="13"/>
    <x v="2"/>
    <x v="1"/>
    <x v="8"/>
  </r>
  <r>
    <n v="1035"/>
    <x v="0"/>
    <x v="2"/>
    <x v="0"/>
    <n v="1736.32"/>
    <n v="5"/>
    <x v="1"/>
    <n v="4483.8500000000004"/>
    <n v="4795.42"/>
    <s v="Returning"/>
    <x v="10"/>
    <x v="0"/>
    <x v="0"/>
    <x v="19"/>
  </r>
  <r>
    <n v="1087"/>
    <x v="175"/>
    <x v="2"/>
    <x v="0"/>
    <n v="119.72"/>
    <n v="20"/>
    <x v="2"/>
    <n v="193.27"/>
    <n v="297.69"/>
    <s v="New"/>
    <x v="20"/>
    <x v="0"/>
    <x v="0"/>
    <x v="19"/>
  </r>
  <r>
    <n v="1081"/>
    <x v="29"/>
    <x v="4"/>
    <x v="0"/>
    <n v="7215.52"/>
    <n v="23"/>
    <x v="3"/>
    <n v="1236.25"/>
    <n v="1543.38"/>
    <s v="New"/>
    <x v="15"/>
    <x v="1"/>
    <x v="0"/>
    <x v="15"/>
  </r>
  <r>
    <n v="1090"/>
    <x v="278"/>
    <x v="3"/>
    <x v="0"/>
    <n v="7350.77"/>
    <n v="11"/>
    <x v="3"/>
    <n v="210.33"/>
    <n v="552.29"/>
    <s v="Returning"/>
    <x v="13"/>
    <x v="0"/>
    <x v="1"/>
    <x v="7"/>
  </r>
  <r>
    <n v="1008"/>
    <x v="149"/>
    <x v="1"/>
    <x v="3"/>
    <n v="5197.84"/>
    <n v="37"/>
    <x v="0"/>
    <n v="1712.43"/>
    <n v="1980.06"/>
    <s v="New"/>
    <x v="16"/>
    <x v="0"/>
    <x v="0"/>
    <x v="16"/>
  </r>
  <r>
    <n v="1093"/>
    <x v="279"/>
    <x v="3"/>
    <x v="3"/>
    <n v="1697.49"/>
    <n v="22"/>
    <x v="3"/>
    <n v="2593.64"/>
    <n v="2955.5099999999902"/>
    <s v="Returning"/>
    <x v="11"/>
    <x v="1"/>
    <x v="1"/>
    <x v="14"/>
  </r>
  <r>
    <n v="1026"/>
    <x v="209"/>
    <x v="0"/>
    <x v="2"/>
    <n v="927.19"/>
    <n v="4"/>
    <x v="3"/>
    <n v="3993.39"/>
    <n v="4288.3"/>
    <s v="New"/>
    <x v="9"/>
    <x v="2"/>
    <x v="0"/>
    <x v="3"/>
  </r>
  <r>
    <n v="1074"/>
    <x v="257"/>
    <x v="1"/>
    <x v="1"/>
    <n v="289.38"/>
    <n v="29"/>
    <x v="0"/>
    <n v="1723.01"/>
    <n v="2197.42"/>
    <s v="New"/>
    <x v="17"/>
    <x v="1"/>
    <x v="1"/>
    <x v="13"/>
  </r>
  <r>
    <n v="1090"/>
    <x v="118"/>
    <x v="2"/>
    <x v="0"/>
    <n v="1740.91"/>
    <n v="44"/>
    <x v="2"/>
    <n v="3542.18"/>
    <n v="3578.49"/>
    <s v="Returning"/>
    <x v="7"/>
    <x v="0"/>
    <x v="0"/>
    <x v="19"/>
  </r>
  <r>
    <n v="1034"/>
    <x v="146"/>
    <x v="1"/>
    <x v="0"/>
    <n v="8919.4699999999993"/>
    <n v="34"/>
    <x v="1"/>
    <n v="978.15"/>
    <n v="1040.21"/>
    <s v="New"/>
    <x v="7"/>
    <x v="2"/>
    <x v="1"/>
    <x v="11"/>
  </r>
  <r>
    <n v="1007"/>
    <x v="157"/>
    <x v="2"/>
    <x v="1"/>
    <n v="2491.21"/>
    <n v="13"/>
    <x v="0"/>
    <n v="3765.46"/>
    <n v="3860.56"/>
    <s v="Returning"/>
    <x v="20"/>
    <x v="0"/>
    <x v="1"/>
    <x v="5"/>
  </r>
  <r>
    <n v="1068"/>
    <x v="24"/>
    <x v="2"/>
    <x v="1"/>
    <n v="3607.29"/>
    <n v="42"/>
    <x v="2"/>
    <n v="1218.18"/>
    <n v="1566.36"/>
    <s v="Returning"/>
    <x v="21"/>
    <x v="2"/>
    <x v="1"/>
    <x v="5"/>
  </r>
  <r>
    <n v="1058"/>
    <x v="280"/>
    <x v="1"/>
    <x v="2"/>
    <n v="1142.92"/>
    <n v="9"/>
    <x v="0"/>
    <n v="760.55"/>
    <n v="1086.8899999999901"/>
    <s v="Returning"/>
    <x v="25"/>
    <x v="0"/>
    <x v="1"/>
    <x v="2"/>
  </r>
  <r>
    <n v="1075"/>
    <x v="3"/>
    <x v="2"/>
    <x v="1"/>
    <n v="2301.38"/>
    <n v="42"/>
    <x v="2"/>
    <n v="967.77"/>
    <n v="1414.88"/>
    <s v="New"/>
    <x v="22"/>
    <x v="1"/>
    <x v="0"/>
    <x v="5"/>
  </r>
  <r>
    <n v="1029"/>
    <x v="281"/>
    <x v="2"/>
    <x v="0"/>
    <n v="5240.32"/>
    <n v="31"/>
    <x v="0"/>
    <n v="951.21"/>
    <n v="1320.32"/>
    <s v="New"/>
    <x v="25"/>
    <x v="0"/>
    <x v="0"/>
    <x v="19"/>
  </r>
  <r>
    <n v="1036"/>
    <x v="282"/>
    <x v="0"/>
    <x v="0"/>
    <n v="6116.75"/>
    <n v="7"/>
    <x v="2"/>
    <n v="2588.67"/>
    <n v="2847.76"/>
    <s v="New"/>
    <x v="20"/>
    <x v="0"/>
    <x v="1"/>
    <x v="0"/>
  </r>
  <r>
    <n v="1089"/>
    <x v="3"/>
    <x v="3"/>
    <x v="0"/>
    <n v="2528.9899999999998"/>
    <n v="4"/>
    <x v="0"/>
    <n v="4231.75"/>
    <n v="4727.75"/>
    <s v="Returning"/>
    <x v="7"/>
    <x v="2"/>
    <x v="1"/>
    <x v="7"/>
  </r>
  <r>
    <n v="1021"/>
    <x v="208"/>
    <x v="3"/>
    <x v="0"/>
    <n v="671.55"/>
    <n v="19"/>
    <x v="2"/>
    <n v="444.05"/>
    <n v="584.44000000000005"/>
    <s v="Returning"/>
    <x v="24"/>
    <x v="0"/>
    <x v="1"/>
    <x v="7"/>
  </r>
  <r>
    <n v="1036"/>
    <x v="199"/>
    <x v="0"/>
    <x v="0"/>
    <n v="3971.23"/>
    <n v="42"/>
    <x v="0"/>
    <n v="3549.43"/>
    <n v="3967.6899999999901"/>
    <s v="New"/>
    <x v="6"/>
    <x v="1"/>
    <x v="0"/>
    <x v="0"/>
  </r>
  <r>
    <n v="1010"/>
    <x v="197"/>
    <x v="1"/>
    <x v="2"/>
    <n v="2418.61"/>
    <n v="30"/>
    <x v="1"/>
    <n v="3289.01"/>
    <n v="3508.14"/>
    <s v="New"/>
    <x v="22"/>
    <x v="1"/>
    <x v="1"/>
    <x v="2"/>
  </r>
  <r>
    <n v="1073"/>
    <x v="283"/>
    <x v="4"/>
    <x v="0"/>
    <n v="2273.58"/>
    <n v="31"/>
    <x v="1"/>
    <n v="4368.97"/>
    <n v="4696.8500000000004"/>
    <s v="Returning"/>
    <x v="26"/>
    <x v="1"/>
    <x v="1"/>
    <x v="15"/>
  </r>
  <r>
    <n v="1024"/>
    <x v="284"/>
    <x v="4"/>
    <x v="2"/>
    <n v="9602.64"/>
    <n v="35"/>
    <x v="3"/>
    <n v="1258.53"/>
    <n v="1624.8899999999901"/>
    <s v="New"/>
    <x v="4"/>
    <x v="2"/>
    <x v="0"/>
    <x v="9"/>
  </r>
  <r>
    <n v="1064"/>
    <x v="177"/>
    <x v="4"/>
    <x v="0"/>
    <n v="6201.37"/>
    <n v="21"/>
    <x v="2"/>
    <n v="2278.04"/>
    <n v="2598.58"/>
    <s v="Returning"/>
    <x v="3"/>
    <x v="2"/>
    <x v="1"/>
    <x v="15"/>
  </r>
  <r>
    <n v="1099"/>
    <x v="285"/>
    <x v="0"/>
    <x v="3"/>
    <n v="5613.1"/>
    <n v="31"/>
    <x v="0"/>
    <n v="4632.8500000000004"/>
    <n v="4711.7"/>
    <s v="New"/>
    <x v="5"/>
    <x v="0"/>
    <x v="1"/>
    <x v="12"/>
  </r>
  <r>
    <n v="1049"/>
    <x v="60"/>
    <x v="0"/>
    <x v="3"/>
    <n v="4216.17"/>
    <n v="19"/>
    <x v="2"/>
    <n v="3316.97"/>
    <n v="3544.02"/>
    <s v="Returning"/>
    <x v="6"/>
    <x v="0"/>
    <x v="0"/>
    <x v="12"/>
  </r>
  <r>
    <n v="1099"/>
    <x v="189"/>
    <x v="2"/>
    <x v="3"/>
    <n v="4346.55"/>
    <n v="31"/>
    <x v="1"/>
    <n v="1974.4"/>
    <n v="2259.5"/>
    <s v="New"/>
    <x v="29"/>
    <x v="0"/>
    <x v="1"/>
    <x v="4"/>
  </r>
  <r>
    <n v="1036"/>
    <x v="50"/>
    <x v="4"/>
    <x v="3"/>
    <n v="5454.96"/>
    <n v="32"/>
    <x v="2"/>
    <n v="700.49"/>
    <n v="1126.52"/>
    <s v="New"/>
    <x v="12"/>
    <x v="2"/>
    <x v="1"/>
    <x v="18"/>
  </r>
  <r>
    <n v="1082"/>
    <x v="239"/>
    <x v="1"/>
    <x v="2"/>
    <n v="6994.66"/>
    <n v="2"/>
    <x v="0"/>
    <n v="1349.3"/>
    <n v="1576.69"/>
    <s v="Returning"/>
    <x v="7"/>
    <x v="2"/>
    <x v="0"/>
    <x v="2"/>
  </r>
  <r>
    <n v="1096"/>
    <x v="62"/>
    <x v="1"/>
    <x v="2"/>
    <n v="7051.25"/>
    <n v="10"/>
    <x v="2"/>
    <n v="2927.02"/>
    <n v="3387.21"/>
    <s v="Returning"/>
    <x v="7"/>
    <x v="0"/>
    <x v="1"/>
    <x v="2"/>
  </r>
  <r>
    <n v="1024"/>
    <x v="115"/>
    <x v="4"/>
    <x v="1"/>
    <n v="1799.77"/>
    <n v="2"/>
    <x v="0"/>
    <n v="3604.93"/>
    <n v="3830.71"/>
    <s v="Returning"/>
    <x v="7"/>
    <x v="2"/>
    <x v="0"/>
    <x v="17"/>
  </r>
  <r>
    <n v="1023"/>
    <x v="251"/>
    <x v="4"/>
    <x v="0"/>
    <n v="5051.12"/>
    <n v="2"/>
    <x v="1"/>
    <n v="665.89"/>
    <n v="944.79"/>
    <s v="New"/>
    <x v="15"/>
    <x v="2"/>
    <x v="1"/>
    <x v="15"/>
  </r>
  <r>
    <n v="1062"/>
    <x v="260"/>
    <x v="4"/>
    <x v="3"/>
    <n v="4178.3900000000003"/>
    <n v="24"/>
    <x v="1"/>
    <n v="3018.01"/>
    <n v="3418.19"/>
    <s v="Returning"/>
    <x v="10"/>
    <x v="1"/>
    <x v="1"/>
    <x v="18"/>
  </r>
  <r>
    <n v="1096"/>
    <x v="82"/>
    <x v="0"/>
    <x v="2"/>
    <n v="8718.2199999999993"/>
    <n v="17"/>
    <x v="1"/>
    <n v="2774.24"/>
    <n v="3069.9399999999901"/>
    <s v="Returning"/>
    <x v="10"/>
    <x v="1"/>
    <x v="1"/>
    <x v="3"/>
  </r>
  <r>
    <n v="1037"/>
    <x v="176"/>
    <x v="0"/>
    <x v="0"/>
    <n v="6351.05"/>
    <n v="32"/>
    <x v="3"/>
    <n v="2594.08"/>
    <n v="3074.59"/>
    <s v="New"/>
    <x v="6"/>
    <x v="0"/>
    <x v="1"/>
    <x v="0"/>
  </r>
  <r>
    <n v="1012"/>
    <x v="56"/>
    <x v="0"/>
    <x v="0"/>
    <n v="5371.79"/>
    <n v="16"/>
    <x v="1"/>
    <n v="3466.11"/>
    <n v="3799.67"/>
    <s v="Returning"/>
    <x v="30"/>
    <x v="0"/>
    <x v="1"/>
    <x v="0"/>
  </r>
  <r>
    <n v="1055"/>
    <x v="255"/>
    <x v="3"/>
    <x v="2"/>
    <n v="1242.4100000000001"/>
    <n v="16"/>
    <x v="2"/>
    <n v="4195.38"/>
    <n v="4461.51"/>
    <s v="Returning"/>
    <x v="0"/>
    <x v="1"/>
    <x v="0"/>
    <x v="6"/>
  </r>
  <r>
    <n v="1013"/>
    <x v="62"/>
    <x v="1"/>
    <x v="3"/>
    <n v="6095.82"/>
    <n v="46"/>
    <x v="3"/>
    <n v="1648.8"/>
    <n v="1670.36"/>
    <s v="Returning"/>
    <x v="0"/>
    <x v="2"/>
    <x v="1"/>
    <x v="16"/>
  </r>
  <r>
    <n v="1023"/>
    <x v="263"/>
    <x v="1"/>
    <x v="1"/>
    <n v="1260.32"/>
    <n v="39"/>
    <x v="1"/>
    <n v="4450.6099999999997"/>
    <n v="4663.3399999999901"/>
    <s v="New"/>
    <x v="19"/>
    <x v="0"/>
    <x v="1"/>
    <x v="13"/>
  </r>
  <r>
    <n v="1089"/>
    <x v="18"/>
    <x v="2"/>
    <x v="0"/>
    <n v="3438.35"/>
    <n v="31"/>
    <x v="2"/>
    <n v="845.14"/>
    <n v="1001.77"/>
    <s v="New"/>
    <x v="21"/>
    <x v="0"/>
    <x v="0"/>
    <x v="19"/>
  </r>
  <r>
    <n v="1099"/>
    <x v="105"/>
    <x v="0"/>
    <x v="1"/>
    <n v="1514.14"/>
    <n v="43"/>
    <x v="2"/>
    <n v="906.47"/>
    <n v="1283.04"/>
    <s v="New"/>
    <x v="19"/>
    <x v="0"/>
    <x v="0"/>
    <x v="1"/>
  </r>
  <r>
    <n v="1030"/>
    <x v="78"/>
    <x v="3"/>
    <x v="3"/>
    <n v="6951.53"/>
    <n v="24"/>
    <x v="2"/>
    <n v="1370.52"/>
    <n v="1482.58"/>
    <s v="Returning"/>
    <x v="2"/>
    <x v="2"/>
    <x v="1"/>
    <x v="14"/>
  </r>
  <r>
    <n v="1017"/>
    <x v="146"/>
    <x v="3"/>
    <x v="3"/>
    <n v="2141.9"/>
    <n v="1"/>
    <x v="0"/>
    <n v="641.67999999999995"/>
    <n v="752.24"/>
    <s v="New"/>
    <x v="20"/>
    <x v="1"/>
    <x v="0"/>
    <x v="14"/>
  </r>
  <r>
    <n v="1062"/>
    <x v="176"/>
    <x v="1"/>
    <x v="1"/>
    <n v="3979.41"/>
    <n v="11"/>
    <x v="3"/>
    <n v="1190.08"/>
    <n v="1292.9399999999901"/>
    <s v="Returning"/>
    <x v="9"/>
    <x v="0"/>
    <x v="1"/>
    <x v="13"/>
  </r>
  <r>
    <n v="1084"/>
    <x v="142"/>
    <x v="0"/>
    <x v="3"/>
    <n v="8967.18"/>
    <n v="21"/>
    <x v="2"/>
    <n v="576.74"/>
    <n v="648.29"/>
    <s v="Returning"/>
    <x v="2"/>
    <x v="1"/>
    <x v="0"/>
    <x v="12"/>
  </r>
  <r>
    <n v="1089"/>
    <x v="42"/>
    <x v="2"/>
    <x v="0"/>
    <n v="2122.73"/>
    <n v="4"/>
    <x v="0"/>
    <n v="4117.67"/>
    <n v="4280.0600000000004"/>
    <s v="Returning"/>
    <x v="13"/>
    <x v="1"/>
    <x v="0"/>
    <x v="19"/>
  </r>
  <r>
    <n v="1086"/>
    <x v="65"/>
    <x v="0"/>
    <x v="1"/>
    <n v="5127.2700000000004"/>
    <n v="7"/>
    <x v="1"/>
    <n v="737.9"/>
    <n v="1182"/>
    <s v="New"/>
    <x v="10"/>
    <x v="2"/>
    <x v="1"/>
    <x v="1"/>
  </r>
  <r>
    <n v="1013"/>
    <x v="11"/>
    <x v="4"/>
    <x v="3"/>
    <n v="4250.79"/>
    <n v="26"/>
    <x v="2"/>
    <n v="3749.12"/>
    <n v="4138.83"/>
    <s v="New"/>
    <x v="9"/>
    <x v="2"/>
    <x v="0"/>
    <x v="18"/>
  </r>
  <r>
    <n v="1059"/>
    <x v="115"/>
    <x v="0"/>
    <x v="1"/>
    <n v="279.43"/>
    <n v="47"/>
    <x v="0"/>
    <n v="287.17"/>
    <n v="657.44"/>
    <s v="Returning"/>
    <x v="6"/>
    <x v="2"/>
    <x v="1"/>
    <x v="1"/>
  </r>
  <r>
    <n v="1019"/>
    <x v="272"/>
    <x v="4"/>
    <x v="0"/>
    <n v="7948.31"/>
    <n v="12"/>
    <x v="2"/>
    <n v="4745.18"/>
    <n v="5145.88"/>
    <s v="Returning"/>
    <x v="27"/>
    <x v="2"/>
    <x v="0"/>
    <x v="15"/>
  </r>
  <r>
    <n v="1049"/>
    <x v="286"/>
    <x v="4"/>
    <x v="3"/>
    <n v="783.55"/>
    <n v="31"/>
    <x v="3"/>
    <n v="3570.24"/>
    <n v="3712.25"/>
    <s v="New"/>
    <x v="21"/>
    <x v="2"/>
    <x v="0"/>
    <x v="18"/>
  </r>
  <r>
    <n v="1100"/>
    <x v="287"/>
    <x v="2"/>
    <x v="0"/>
    <n v="4795.12"/>
    <n v="17"/>
    <x v="3"/>
    <n v="83.64"/>
    <n v="528.49"/>
    <s v="New"/>
    <x v="9"/>
    <x v="2"/>
    <x v="0"/>
    <x v="19"/>
  </r>
  <r>
    <n v="1012"/>
    <x v="229"/>
    <x v="1"/>
    <x v="3"/>
    <n v="5650.72"/>
    <n v="33"/>
    <x v="1"/>
    <n v="3831.09"/>
    <n v="3908.37"/>
    <s v="New"/>
    <x v="12"/>
    <x v="0"/>
    <x v="1"/>
    <x v="16"/>
  </r>
  <r>
    <n v="1061"/>
    <x v="288"/>
    <x v="0"/>
    <x v="2"/>
    <n v="6321.42"/>
    <n v="11"/>
    <x v="2"/>
    <n v="2594.71"/>
    <n v="2769.52"/>
    <s v="Returning"/>
    <x v="30"/>
    <x v="1"/>
    <x v="1"/>
    <x v="3"/>
  </r>
  <r>
    <n v="1019"/>
    <x v="141"/>
    <x v="4"/>
    <x v="3"/>
    <n v="6917.45"/>
    <n v="28"/>
    <x v="0"/>
    <n v="3907.86"/>
    <n v="4205.37"/>
    <s v="New"/>
    <x v="0"/>
    <x v="2"/>
    <x v="0"/>
    <x v="18"/>
  </r>
  <r>
    <n v="1076"/>
    <x v="89"/>
    <x v="0"/>
    <x v="1"/>
    <n v="2607.4"/>
    <n v="32"/>
    <x v="1"/>
    <n v="2636.36"/>
    <n v="2696.78"/>
    <s v="New"/>
    <x v="0"/>
    <x v="0"/>
    <x v="1"/>
    <x v="1"/>
  </r>
  <r>
    <n v="1009"/>
    <x v="113"/>
    <x v="1"/>
    <x v="3"/>
    <n v="198.79"/>
    <n v="1"/>
    <x v="2"/>
    <n v="3223.07"/>
    <n v="3590.83"/>
    <s v="New"/>
    <x v="27"/>
    <x v="1"/>
    <x v="1"/>
    <x v="16"/>
  </r>
  <r>
    <n v="1071"/>
    <x v="250"/>
    <x v="1"/>
    <x v="0"/>
    <n v="7262.09"/>
    <n v="47"/>
    <x v="1"/>
    <n v="3942.34"/>
    <n v="4142.09"/>
    <s v="Returning"/>
    <x v="21"/>
    <x v="2"/>
    <x v="1"/>
    <x v="11"/>
  </r>
  <r>
    <n v="1028"/>
    <x v="30"/>
    <x v="3"/>
    <x v="0"/>
    <n v="5403"/>
    <n v="28"/>
    <x v="0"/>
    <n v="2055.2800000000002"/>
    <n v="2449.64"/>
    <s v="New"/>
    <x v="27"/>
    <x v="2"/>
    <x v="0"/>
    <x v="7"/>
  </r>
  <r>
    <n v="1078"/>
    <x v="200"/>
    <x v="1"/>
    <x v="3"/>
    <n v="8377.57"/>
    <n v="42"/>
    <x v="1"/>
    <n v="63.41"/>
    <n v="314.93"/>
    <s v="Returning"/>
    <x v="21"/>
    <x v="0"/>
    <x v="1"/>
    <x v="16"/>
  </r>
  <r>
    <n v="1095"/>
    <x v="128"/>
    <x v="2"/>
    <x v="1"/>
    <n v="8231.74"/>
    <n v="7"/>
    <x v="1"/>
    <n v="4257.24"/>
    <n v="4355.87"/>
    <s v="Returning"/>
    <x v="21"/>
    <x v="1"/>
    <x v="0"/>
    <x v="5"/>
  </r>
  <r>
    <n v="1052"/>
    <x v="289"/>
    <x v="4"/>
    <x v="2"/>
    <n v="8448.93"/>
    <n v="2"/>
    <x v="1"/>
    <n v="1935.41"/>
    <n v="2305.44"/>
    <s v="Returning"/>
    <x v="20"/>
    <x v="2"/>
    <x v="0"/>
    <x v="9"/>
  </r>
  <r>
    <n v="1083"/>
    <x v="11"/>
    <x v="3"/>
    <x v="1"/>
    <n v="4902.4399999999996"/>
    <n v="42"/>
    <x v="2"/>
    <n v="2505.41"/>
    <n v="2638.96"/>
    <s v="New"/>
    <x v="15"/>
    <x v="1"/>
    <x v="0"/>
    <x v="8"/>
  </r>
  <r>
    <n v="1016"/>
    <x v="163"/>
    <x v="2"/>
    <x v="2"/>
    <n v="3402.92"/>
    <n v="24"/>
    <x v="0"/>
    <n v="88.44"/>
    <n v="338.94"/>
    <s v="New"/>
    <x v="12"/>
    <x v="0"/>
    <x v="0"/>
    <x v="10"/>
  </r>
  <r>
    <n v="1069"/>
    <x v="148"/>
    <x v="0"/>
    <x v="0"/>
    <n v="7936.43"/>
    <n v="4"/>
    <x v="3"/>
    <n v="2485.86"/>
    <n v="2532.87"/>
    <s v="New"/>
    <x v="30"/>
    <x v="2"/>
    <x v="0"/>
    <x v="0"/>
  </r>
  <r>
    <n v="1099"/>
    <x v="290"/>
    <x v="4"/>
    <x v="1"/>
    <n v="4567.8100000000004"/>
    <n v="44"/>
    <x v="2"/>
    <n v="4933.1099999999997"/>
    <n v="5245.86"/>
    <s v="Returning"/>
    <x v="9"/>
    <x v="1"/>
    <x v="1"/>
    <x v="17"/>
  </r>
  <r>
    <n v="1012"/>
    <x v="66"/>
    <x v="1"/>
    <x v="2"/>
    <n v="1916.08"/>
    <n v="19"/>
    <x v="3"/>
    <n v="1427.42"/>
    <n v="1763.69"/>
    <s v="New"/>
    <x v="21"/>
    <x v="0"/>
    <x v="1"/>
    <x v="2"/>
  </r>
  <r>
    <n v="1025"/>
    <x v="291"/>
    <x v="4"/>
    <x v="3"/>
    <n v="8564.24"/>
    <n v="26"/>
    <x v="3"/>
    <n v="2007.32"/>
    <n v="2202.87"/>
    <s v="Returning"/>
    <x v="1"/>
    <x v="0"/>
    <x v="0"/>
    <x v="18"/>
  </r>
  <r>
    <n v="1052"/>
    <x v="99"/>
    <x v="0"/>
    <x v="0"/>
    <n v="8837.34"/>
    <n v="11"/>
    <x v="2"/>
    <n v="3451.59"/>
    <n v="3929.26"/>
    <s v="New"/>
    <x v="23"/>
    <x v="2"/>
    <x v="1"/>
    <x v="0"/>
  </r>
  <r>
    <n v="1085"/>
    <x v="70"/>
    <x v="3"/>
    <x v="3"/>
    <n v="4716.47"/>
    <n v="40"/>
    <x v="2"/>
    <n v="4083.23"/>
    <n v="4521.57"/>
    <s v="New"/>
    <x v="29"/>
    <x v="1"/>
    <x v="1"/>
    <x v="14"/>
  </r>
  <r>
    <n v="1100"/>
    <x v="206"/>
    <x v="3"/>
    <x v="0"/>
    <n v="849.43"/>
    <n v="43"/>
    <x v="0"/>
    <n v="2116.09"/>
    <n v="2472.98"/>
    <s v="New"/>
    <x v="30"/>
    <x v="2"/>
    <x v="1"/>
    <x v="7"/>
  </r>
  <r>
    <n v="1053"/>
    <x v="57"/>
    <x v="3"/>
    <x v="1"/>
    <n v="3939.48"/>
    <n v="11"/>
    <x v="0"/>
    <n v="1582.86"/>
    <n v="1942.55"/>
    <s v="New"/>
    <x v="22"/>
    <x v="2"/>
    <x v="1"/>
    <x v="8"/>
  </r>
  <r>
    <n v="1023"/>
    <x v="186"/>
    <x v="1"/>
    <x v="1"/>
    <n v="8055.02"/>
    <n v="45"/>
    <x v="1"/>
    <n v="4692.24"/>
    <n v="4825.92"/>
    <s v="Returning"/>
    <x v="27"/>
    <x v="1"/>
    <x v="1"/>
    <x v="13"/>
  </r>
  <r>
    <n v="1016"/>
    <x v="177"/>
    <x v="2"/>
    <x v="0"/>
    <n v="9027.56"/>
    <n v="3"/>
    <x v="3"/>
    <n v="3401.87"/>
    <n v="3733.71"/>
    <s v="Returning"/>
    <x v="18"/>
    <x v="1"/>
    <x v="1"/>
    <x v="19"/>
  </r>
  <r>
    <n v="1057"/>
    <x v="231"/>
    <x v="2"/>
    <x v="0"/>
    <n v="2114.38"/>
    <n v="12"/>
    <x v="0"/>
    <n v="639.16"/>
    <n v="746.28"/>
    <s v="Returning"/>
    <x v="14"/>
    <x v="1"/>
    <x v="1"/>
    <x v="19"/>
  </r>
  <r>
    <n v="1039"/>
    <x v="292"/>
    <x v="4"/>
    <x v="0"/>
    <n v="763.04"/>
    <n v="3"/>
    <x v="1"/>
    <n v="391.19"/>
    <n v="471.75"/>
    <s v="Returning"/>
    <x v="29"/>
    <x v="0"/>
    <x v="0"/>
    <x v="15"/>
  </r>
  <r>
    <n v="1053"/>
    <x v="54"/>
    <x v="1"/>
    <x v="1"/>
    <n v="8785.77"/>
    <n v="42"/>
    <x v="0"/>
    <n v="2443.5700000000002"/>
    <n v="2943.31"/>
    <s v="New"/>
    <x v="12"/>
    <x v="0"/>
    <x v="0"/>
    <x v="13"/>
  </r>
  <r>
    <n v="1042"/>
    <x v="290"/>
    <x v="3"/>
    <x v="2"/>
    <n v="3955.11"/>
    <n v="27"/>
    <x v="2"/>
    <n v="1139.45"/>
    <n v="1454.41"/>
    <s v="Returning"/>
    <x v="23"/>
    <x v="1"/>
    <x v="0"/>
    <x v="6"/>
  </r>
  <r>
    <n v="1058"/>
    <x v="263"/>
    <x v="3"/>
    <x v="3"/>
    <n v="5463.43"/>
    <n v="49"/>
    <x v="0"/>
    <n v="1307.22"/>
    <n v="1528.4"/>
    <s v="Returning"/>
    <x v="19"/>
    <x v="0"/>
    <x v="1"/>
    <x v="14"/>
  </r>
  <r>
    <n v="1039"/>
    <x v="68"/>
    <x v="0"/>
    <x v="3"/>
    <n v="9683.85"/>
    <n v="2"/>
    <x v="3"/>
    <n v="4394.58"/>
    <n v="4545.78"/>
    <s v="Returning"/>
    <x v="2"/>
    <x v="2"/>
    <x v="1"/>
    <x v="12"/>
  </r>
  <r>
    <n v="1014"/>
    <x v="293"/>
    <x v="0"/>
    <x v="1"/>
    <n v="758.99"/>
    <n v="49"/>
    <x v="0"/>
    <n v="493.35"/>
    <n v="799.27"/>
    <s v="New"/>
    <x v="15"/>
    <x v="1"/>
    <x v="0"/>
    <x v="1"/>
  </r>
  <r>
    <n v="1095"/>
    <x v="42"/>
    <x v="3"/>
    <x v="3"/>
    <n v="6518.35"/>
    <n v="16"/>
    <x v="3"/>
    <n v="3591.05"/>
    <n v="3625.35"/>
    <s v="Returning"/>
    <x v="8"/>
    <x v="2"/>
    <x v="1"/>
    <x v="14"/>
  </r>
  <r>
    <n v="1005"/>
    <x v="116"/>
    <x v="3"/>
    <x v="0"/>
    <n v="833.64"/>
    <n v="2"/>
    <x v="2"/>
    <n v="1392.15"/>
    <n v="1448.54"/>
    <s v="Returning"/>
    <x v="3"/>
    <x v="1"/>
    <x v="1"/>
    <x v="7"/>
  </r>
  <r>
    <n v="1035"/>
    <x v="133"/>
    <x v="1"/>
    <x v="2"/>
    <n v="3817.14"/>
    <n v="30"/>
    <x v="3"/>
    <n v="3813.62"/>
    <n v="3839.72"/>
    <s v="New"/>
    <x v="5"/>
    <x v="2"/>
    <x v="0"/>
    <x v="2"/>
  </r>
  <r>
    <n v="1087"/>
    <x v="285"/>
    <x v="2"/>
    <x v="3"/>
    <n v="8057.76"/>
    <n v="20"/>
    <x v="0"/>
    <n v="3625.94"/>
    <n v="3880.53"/>
    <s v="New"/>
    <x v="19"/>
    <x v="1"/>
    <x v="0"/>
    <x v="4"/>
  </r>
  <r>
    <n v="1093"/>
    <x v="294"/>
    <x v="0"/>
    <x v="2"/>
    <n v="4391.38"/>
    <n v="38"/>
    <x v="1"/>
    <n v="86.59"/>
    <n v="390.89"/>
    <s v="Returning"/>
    <x v="26"/>
    <x v="2"/>
    <x v="0"/>
    <x v="3"/>
  </r>
  <r>
    <n v="1075"/>
    <x v="257"/>
    <x v="2"/>
    <x v="0"/>
    <n v="9972.11"/>
    <n v="28"/>
    <x v="2"/>
    <n v="2570.2199999999998"/>
    <n v="2610.8399999999901"/>
    <s v="Returning"/>
    <x v="29"/>
    <x v="1"/>
    <x v="1"/>
    <x v="19"/>
  </r>
  <r>
    <n v="1018"/>
    <x v="278"/>
    <x v="1"/>
    <x v="3"/>
    <n v="5634.69"/>
    <n v="25"/>
    <x v="0"/>
    <n v="739.63"/>
    <n v="1103.03"/>
    <s v="New"/>
    <x v="16"/>
    <x v="1"/>
    <x v="1"/>
    <x v="16"/>
  </r>
  <r>
    <n v="1076"/>
    <x v="211"/>
    <x v="3"/>
    <x v="1"/>
    <n v="3279.51"/>
    <n v="32"/>
    <x v="2"/>
    <n v="4337.82"/>
    <n v="4460.71"/>
    <s v="Returning"/>
    <x v="23"/>
    <x v="0"/>
    <x v="1"/>
    <x v="8"/>
  </r>
  <r>
    <n v="1009"/>
    <x v="103"/>
    <x v="2"/>
    <x v="2"/>
    <n v="2279.1"/>
    <n v="10"/>
    <x v="2"/>
    <n v="4364.3500000000004"/>
    <n v="4710.1000000000004"/>
    <s v="New"/>
    <x v="17"/>
    <x v="2"/>
    <x v="0"/>
    <x v="10"/>
  </r>
  <r>
    <n v="1074"/>
    <x v="79"/>
    <x v="3"/>
    <x v="0"/>
    <n v="3570.15"/>
    <n v="42"/>
    <x v="0"/>
    <n v="2120.81"/>
    <n v="2611.94"/>
    <s v="Returning"/>
    <x v="10"/>
    <x v="0"/>
    <x v="0"/>
    <x v="7"/>
  </r>
  <r>
    <n v="1058"/>
    <x v="295"/>
    <x v="3"/>
    <x v="2"/>
    <n v="3788.08"/>
    <n v="40"/>
    <x v="0"/>
    <n v="2249.7600000000002"/>
    <n v="2598.4"/>
    <s v="Returning"/>
    <x v="13"/>
    <x v="2"/>
    <x v="1"/>
    <x v="6"/>
  </r>
  <r>
    <n v="1017"/>
    <x v="296"/>
    <x v="4"/>
    <x v="3"/>
    <n v="780.27"/>
    <n v="33"/>
    <x v="1"/>
    <n v="1551.25"/>
    <n v="1994.01"/>
    <s v="Returning"/>
    <x v="4"/>
    <x v="0"/>
    <x v="0"/>
    <x v="18"/>
  </r>
  <r>
    <n v="1007"/>
    <x v="238"/>
    <x v="2"/>
    <x v="3"/>
    <n v="3758.78"/>
    <n v="13"/>
    <x v="2"/>
    <n v="3597.2"/>
    <n v="4071.8199999999902"/>
    <s v="Returning"/>
    <x v="12"/>
    <x v="1"/>
    <x v="0"/>
    <x v="4"/>
  </r>
  <r>
    <n v="1046"/>
    <x v="91"/>
    <x v="2"/>
    <x v="1"/>
    <n v="4695.96"/>
    <n v="41"/>
    <x v="2"/>
    <n v="1825.37"/>
    <n v="2073.88"/>
    <s v="Returning"/>
    <x v="29"/>
    <x v="0"/>
    <x v="1"/>
    <x v="5"/>
  </r>
  <r>
    <n v="1013"/>
    <x v="297"/>
    <x v="3"/>
    <x v="0"/>
    <n v="7255.1"/>
    <n v="42"/>
    <x v="0"/>
    <n v="1375.57"/>
    <n v="1729.71"/>
    <s v="New"/>
    <x v="14"/>
    <x v="0"/>
    <x v="0"/>
    <x v="7"/>
  </r>
  <r>
    <n v="1040"/>
    <x v="204"/>
    <x v="1"/>
    <x v="0"/>
    <n v="6601.62"/>
    <n v="47"/>
    <x v="3"/>
    <n v="2189.54"/>
    <n v="2617"/>
    <s v="New"/>
    <x v="30"/>
    <x v="1"/>
    <x v="0"/>
    <x v="11"/>
  </r>
  <r>
    <n v="1042"/>
    <x v="127"/>
    <x v="4"/>
    <x v="1"/>
    <n v="7116.78"/>
    <n v="37"/>
    <x v="0"/>
    <n v="502.86"/>
    <n v="687.6"/>
    <s v="Returning"/>
    <x v="5"/>
    <x v="0"/>
    <x v="0"/>
    <x v="17"/>
  </r>
  <r>
    <n v="1009"/>
    <x v="157"/>
    <x v="3"/>
    <x v="1"/>
    <n v="182.8"/>
    <n v="16"/>
    <x v="2"/>
    <n v="3745.69"/>
    <n v="3883.77"/>
    <s v="Returning"/>
    <x v="13"/>
    <x v="1"/>
    <x v="1"/>
    <x v="8"/>
  </r>
  <r>
    <n v="1050"/>
    <x v="28"/>
    <x v="0"/>
    <x v="0"/>
    <n v="2254.91"/>
    <n v="45"/>
    <x v="0"/>
    <n v="112.35"/>
    <n v="586.17999999999995"/>
    <s v="Returning"/>
    <x v="24"/>
    <x v="2"/>
    <x v="1"/>
    <x v="0"/>
  </r>
  <r>
    <n v="1027"/>
    <x v="222"/>
    <x v="0"/>
    <x v="2"/>
    <n v="6650.67"/>
    <n v="22"/>
    <x v="1"/>
    <n v="3240.2"/>
    <n v="3606.0899999999901"/>
    <s v="New"/>
    <x v="17"/>
    <x v="0"/>
    <x v="0"/>
    <x v="3"/>
  </r>
  <r>
    <n v="1066"/>
    <x v="11"/>
    <x v="4"/>
    <x v="2"/>
    <n v="4891.49"/>
    <n v="20"/>
    <x v="3"/>
    <n v="955.18"/>
    <n v="1072.82"/>
    <s v="New"/>
    <x v="21"/>
    <x v="1"/>
    <x v="1"/>
    <x v="9"/>
  </r>
  <r>
    <n v="1005"/>
    <x v="136"/>
    <x v="1"/>
    <x v="1"/>
    <n v="152.6"/>
    <n v="43"/>
    <x v="0"/>
    <n v="1200.4000000000001"/>
    <n v="1430.45"/>
    <s v="New"/>
    <x v="4"/>
    <x v="1"/>
    <x v="1"/>
    <x v="13"/>
  </r>
  <r>
    <n v="1029"/>
    <x v="277"/>
    <x v="3"/>
    <x v="2"/>
    <n v="8064.5"/>
    <n v="27"/>
    <x v="1"/>
    <n v="3196.38"/>
    <n v="3596.64"/>
    <s v="New"/>
    <x v="30"/>
    <x v="0"/>
    <x v="1"/>
    <x v="6"/>
  </r>
  <r>
    <n v="1037"/>
    <x v="231"/>
    <x v="2"/>
    <x v="0"/>
    <n v="7750.81"/>
    <n v="41"/>
    <x v="2"/>
    <n v="4965.07"/>
    <n v="5243.13"/>
    <s v="New"/>
    <x v="30"/>
    <x v="2"/>
    <x v="0"/>
    <x v="19"/>
  </r>
  <r>
    <n v="1038"/>
    <x v="32"/>
    <x v="4"/>
    <x v="3"/>
    <n v="5529.35"/>
    <n v="16"/>
    <x v="0"/>
    <n v="3899.7"/>
    <n v="4228.18"/>
    <s v="New"/>
    <x v="29"/>
    <x v="0"/>
    <x v="1"/>
    <x v="18"/>
  </r>
  <r>
    <n v="1083"/>
    <x v="170"/>
    <x v="1"/>
    <x v="3"/>
    <n v="757.99"/>
    <n v="34"/>
    <x v="2"/>
    <n v="1167.9100000000001"/>
    <n v="1547.26"/>
    <s v="New"/>
    <x v="1"/>
    <x v="1"/>
    <x v="0"/>
    <x v="16"/>
  </r>
  <r>
    <n v="1008"/>
    <x v="70"/>
    <x v="2"/>
    <x v="2"/>
    <n v="7688.5"/>
    <n v="32"/>
    <x v="1"/>
    <n v="921.32"/>
    <n v="1236.0999999999999"/>
    <s v="New"/>
    <x v="7"/>
    <x v="2"/>
    <x v="0"/>
    <x v="10"/>
  </r>
  <r>
    <n v="1065"/>
    <x v="11"/>
    <x v="0"/>
    <x v="1"/>
    <n v="5878.76"/>
    <n v="26"/>
    <x v="2"/>
    <n v="4337.8500000000004"/>
    <n v="4612.49"/>
    <s v="Returning"/>
    <x v="30"/>
    <x v="0"/>
    <x v="1"/>
    <x v="1"/>
  </r>
  <r>
    <n v="1086"/>
    <x v="298"/>
    <x v="0"/>
    <x v="1"/>
    <n v="7841.4"/>
    <n v="25"/>
    <x v="1"/>
    <n v="2248.71"/>
    <n v="2626.02"/>
    <s v="New"/>
    <x v="4"/>
    <x v="1"/>
    <x v="0"/>
    <x v="1"/>
  </r>
  <r>
    <n v="1017"/>
    <x v="61"/>
    <x v="2"/>
    <x v="1"/>
    <n v="7542.3"/>
    <n v="2"/>
    <x v="1"/>
    <n v="728.41"/>
    <n v="1094.92"/>
    <s v="New"/>
    <x v="19"/>
    <x v="0"/>
    <x v="1"/>
    <x v="5"/>
  </r>
  <r>
    <n v="1071"/>
    <x v="90"/>
    <x v="4"/>
    <x v="1"/>
    <n v="8049.72"/>
    <n v="12"/>
    <x v="1"/>
    <n v="4317.95"/>
    <n v="4636.59"/>
    <s v="New"/>
    <x v="13"/>
    <x v="2"/>
    <x v="1"/>
    <x v="17"/>
  </r>
  <r>
    <n v="1089"/>
    <x v="175"/>
    <x v="0"/>
    <x v="1"/>
    <n v="5228.28"/>
    <n v="40"/>
    <x v="0"/>
    <n v="4089.66"/>
    <n v="4275.96"/>
    <s v="New"/>
    <x v="10"/>
    <x v="2"/>
    <x v="0"/>
    <x v="1"/>
  </r>
  <r>
    <n v="1045"/>
    <x v="273"/>
    <x v="3"/>
    <x v="2"/>
    <n v="1489.21"/>
    <n v="9"/>
    <x v="2"/>
    <n v="4920.34"/>
    <n v="5129.1899999999996"/>
    <s v="Returning"/>
    <x v="9"/>
    <x v="2"/>
    <x v="0"/>
    <x v="6"/>
  </r>
  <r>
    <n v="1004"/>
    <x v="59"/>
    <x v="2"/>
    <x v="3"/>
    <n v="6744.46"/>
    <n v="12"/>
    <x v="2"/>
    <n v="4553.2299999999996"/>
    <n v="5038.74"/>
    <s v="New"/>
    <x v="0"/>
    <x v="2"/>
    <x v="1"/>
    <x v="4"/>
  </r>
  <r>
    <n v="1036"/>
    <x v="299"/>
    <x v="2"/>
    <x v="3"/>
    <n v="6242.69"/>
    <n v="26"/>
    <x v="3"/>
    <n v="4266.3599999999997"/>
    <n v="4331.4299999999903"/>
    <s v="Returning"/>
    <x v="6"/>
    <x v="2"/>
    <x v="1"/>
    <x v="4"/>
  </r>
  <r>
    <n v="1070"/>
    <x v="94"/>
    <x v="0"/>
    <x v="2"/>
    <n v="7448.31"/>
    <n v="9"/>
    <x v="3"/>
    <n v="310.24"/>
    <n v="451.81"/>
    <s v="Returning"/>
    <x v="15"/>
    <x v="0"/>
    <x v="1"/>
    <x v="3"/>
  </r>
  <r>
    <n v="1031"/>
    <x v="273"/>
    <x v="4"/>
    <x v="1"/>
    <n v="1781.82"/>
    <n v="10"/>
    <x v="3"/>
    <n v="566.86"/>
    <n v="818.14"/>
    <s v="Returning"/>
    <x v="26"/>
    <x v="2"/>
    <x v="1"/>
    <x v="17"/>
  </r>
  <r>
    <n v="1019"/>
    <x v="300"/>
    <x v="3"/>
    <x v="2"/>
    <n v="2030.25"/>
    <n v="32"/>
    <x v="3"/>
    <n v="2866.47"/>
    <n v="3286.47"/>
    <s v="New"/>
    <x v="0"/>
    <x v="2"/>
    <x v="0"/>
    <x v="6"/>
  </r>
  <r>
    <n v="1061"/>
    <x v="228"/>
    <x v="4"/>
    <x v="3"/>
    <n v="8915.0499999999993"/>
    <n v="34"/>
    <x v="2"/>
    <n v="2680.82"/>
    <n v="2771.02"/>
    <s v="New"/>
    <x v="2"/>
    <x v="1"/>
    <x v="0"/>
    <x v="18"/>
  </r>
  <r>
    <n v="1054"/>
    <x v="194"/>
    <x v="1"/>
    <x v="0"/>
    <n v="7524.78"/>
    <n v="48"/>
    <x v="1"/>
    <n v="2316.92"/>
    <n v="2462.63"/>
    <s v="New"/>
    <x v="14"/>
    <x v="2"/>
    <x v="0"/>
    <x v="11"/>
  </r>
  <r>
    <n v="1039"/>
    <x v="32"/>
    <x v="1"/>
    <x v="2"/>
    <n v="9091.4599999999991"/>
    <n v="20"/>
    <x v="1"/>
    <n v="2014.11"/>
    <n v="2056.35"/>
    <s v="Returning"/>
    <x v="5"/>
    <x v="1"/>
    <x v="1"/>
    <x v="2"/>
  </r>
  <r>
    <n v="1091"/>
    <x v="275"/>
    <x v="0"/>
    <x v="1"/>
    <n v="7611.28"/>
    <n v="39"/>
    <x v="0"/>
    <n v="2184.4899999999998"/>
    <n v="2540.4199999999901"/>
    <s v="Returning"/>
    <x v="29"/>
    <x v="1"/>
    <x v="0"/>
    <x v="1"/>
  </r>
  <r>
    <n v="1074"/>
    <x v="185"/>
    <x v="0"/>
    <x v="3"/>
    <n v="6011.84"/>
    <n v="2"/>
    <x v="1"/>
    <n v="2868.02"/>
    <n v="2994.74"/>
    <s v="Returning"/>
    <x v="13"/>
    <x v="1"/>
    <x v="0"/>
    <x v="12"/>
  </r>
  <r>
    <n v="1090"/>
    <x v="24"/>
    <x v="0"/>
    <x v="3"/>
    <n v="6575.91"/>
    <n v="1"/>
    <x v="2"/>
    <n v="60.28"/>
    <n v="260.73"/>
    <s v="Returning"/>
    <x v="22"/>
    <x v="0"/>
    <x v="0"/>
    <x v="12"/>
  </r>
  <r>
    <n v="1019"/>
    <x v="89"/>
    <x v="1"/>
    <x v="3"/>
    <n v="8902.3700000000008"/>
    <n v="36"/>
    <x v="2"/>
    <n v="1340.51"/>
    <n v="1567.92"/>
    <s v="New"/>
    <x v="12"/>
    <x v="0"/>
    <x v="0"/>
    <x v="16"/>
  </r>
  <r>
    <n v="1039"/>
    <x v="137"/>
    <x v="4"/>
    <x v="3"/>
    <n v="5830.19"/>
    <n v="24"/>
    <x v="2"/>
    <n v="2615.48"/>
    <n v="3062.22"/>
    <s v="New"/>
    <x v="27"/>
    <x v="1"/>
    <x v="1"/>
    <x v="18"/>
  </r>
  <r>
    <n v="1067"/>
    <x v="301"/>
    <x v="4"/>
    <x v="1"/>
    <n v="6360.67"/>
    <n v="27"/>
    <x v="0"/>
    <n v="3624.97"/>
    <n v="3836.52"/>
    <s v="New"/>
    <x v="4"/>
    <x v="0"/>
    <x v="0"/>
    <x v="17"/>
  </r>
  <r>
    <n v="1045"/>
    <x v="204"/>
    <x v="0"/>
    <x v="0"/>
    <n v="1649.12"/>
    <n v="2"/>
    <x v="3"/>
    <n v="912.08"/>
    <n v="993.24"/>
    <s v="Returning"/>
    <x v="0"/>
    <x v="2"/>
    <x v="0"/>
    <x v="0"/>
  </r>
  <r>
    <n v="1013"/>
    <x v="302"/>
    <x v="3"/>
    <x v="3"/>
    <n v="4791.82"/>
    <n v="31"/>
    <x v="1"/>
    <n v="2757.06"/>
    <n v="3023.97"/>
    <s v="Returning"/>
    <x v="5"/>
    <x v="0"/>
    <x v="0"/>
    <x v="14"/>
  </r>
  <r>
    <n v="1092"/>
    <x v="32"/>
    <x v="4"/>
    <x v="2"/>
    <n v="7192.33"/>
    <n v="14"/>
    <x v="2"/>
    <n v="3586.58"/>
    <n v="4068.43"/>
    <s v="New"/>
    <x v="20"/>
    <x v="2"/>
    <x v="0"/>
    <x v="9"/>
  </r>
  <r>
    <n v="1058"/>
    <x v="266"/>
    <x v="1"/>
    <x v="0"/>
    <n v="2782.33"/>
    <n v="2"/>
    <x v="2"/>
    <n v="2250.91"/>
    <n v="2558.6799999999998"/>
    <s v="New"/>
    <x v="0"/>
    <x v="2"/>
    <x v="1"/>
    <x v="11"/>
  </r>
  <r>
    <n v="1020"/>
    <x v="32"/>
    <x v="2"/>
    <x v="3"/>
    <n v="2102.3200000000002"/>
    <n v="29"/>
    <x v="3"/>
    <n v="184.05"/>
    <n v="675.91"/>
    <s v="Returning"/>
    <x v="15"/>
    <x v="0"/>
    <x v="1"/>
    <x v="4"/>
  </r>
  <r>
    <n v="1092"/>
    <x v="171"/>
    <x v="2"/>
    <x v="0"/>
    <n v="3206.89"/>
    <n v="15"/>
    <x v="2"/>
    <n v="2273.88"/>
    <n v="2696.02"/>
    <s v="New"/>
    <x v="23"/>
    <x v="0"/>
    <x v="0"/>
    <x v="19"/>
  </r>
  <r>
    <n v="1072"/>
    <x v="104"/>
    <x v="2"/>
    <x v="2"/>
    <n v="2490.86"/>
    <n v="12"/>
    <x v="1"/>
    <n v="1517.4"/>
    <n v="1545.02"/>
    <s v="New"/>
    <x v="21"/>
    <x v="1"/>
    <x v="1"/>
    <x v="10"/>
  </r>
  <r>
    <n v="1061"/>
    <x v="15"/>
    <x v="3"/>
    <x v="3"/>
    <n v="2227.64"/>
    <n v="37"/>
    <x v="0"/>
    <n v="4651.7700000000004"/>
    <n v="4984.3900000000003"/>
    <s v="Returning"/>
    <x v="7"/>
    <x v="0"/>
    <x v="1"/>
    <x v="14"/>
  </r>
  <r>
    <n v="1039"/>
    <x v="291"/>
    <x v="0"/>
    <x v="2"/>
    <n v="4306.0200000000004"/>
    <n v="28"/>
    <x v="2"/>
    <n v="666.84"/>
    <n v="817.36"/>
    <s v="Returning"/>
    <x v="3"/>
    <x v="0"/>
    <x v="1"/>
    <x v="3"/>
  </r>
  <r>
    <n v="1001"/>
    <x v="133"/>
    <x v="1"/>
    <x v="1"/>
    <n v="9087.6"/>
    <n v="20"/>
    <x v="1"/>
    <n v="3279.76"/>
    <n v="3563.97"/>
    <s v="Returning"/>
    <x v="26"/>
    <x v="0"/>
    <x v="1"/>
    <x v="13"/>
  </r>
  <r>
    <n v="1003"/>
    <x v="216"/>
    <x v="3"/>
    <x v="3"/>
    <n v="5119.8900000000003"/>
    <n v="39"/>
    <x v="2"/>
    <n v="310.95999999999998"/>
    <n v="457.84"/>
    <s v="New"/>
    <x v="21"/>
    <x v="2"/>
    <x v="0"/>
    <x v="14"/>
  </r>
  <r>
    <n v="1077"/>
    <x v="303"/>
    <x v="1"/>
    <x v="3"/>
    <n v="1960.41"/>
    <n v="24"/>
    <x v="3"/>
    <n v="2258.54"/>
    <n v="2439.4899999999998"/>
    <s v="Returning"/>
    <x v="2"/>
    <x v="2"/>
    <x v="1"/>
    <x v="16"/>
  </r>
  <r>
    <n v="1092"/>
    <x v="74"/>
    <x v="1"/>
    <x v="3"/>
    <n v="862.02"/>
    <n v="21"/>
    <x v="2"/>
    <n v="2792.2"/>
    <n v="3254.5499999999902"/>
    <s v="New"/>
    <x v="3"/>
    <x v="2"/>
    <x v="1"/>
    <x v="16"/>
  </r>
  <r>
    <n v="1062"/>
    <x v="154"/>
    <x v="0"/>
    <x v="3"/>
    <n v="6991.95"/>
    <n v="10"/>
    <x v="2"/>
    <n v="1524.88"/>
    <n v="1636.14"/>
    <s v="New"/>
    <x v="2"/>
    <x v="1"/>
    <x v="0"/>
    <x v="12"/>
  </r>
  <r>
    <n v="1063"/>
    <x v="111"/>
    <x v="2"/>
    <x v="1"/>
    <n v="3889.71"/>
    <n v="46"/>
    <x v="0"/>
    <n v="2302.62"/>
    <n v="2740.93"/>
    <s v="Returning"/>
    <x v="26"/>
    <x v="1"/>
    <x v="0"/>
    <x v="5"/>
  </r>
  <r>
    <n v="1025"/>
    <x v="229"/>
    <x v="0"/>
    <x v="3"/>
    <n v="8236.1299999999992"/>
    <n v="14"/>
    <x v="3"/>
    <n v="859.59"/>
    <n v="884.51"/>
    <s v="New"/>
    <x v="7"/>
    <x v="1"/>
    <x v="0"/>
    <x v="12"/>
  </r>
  <r>
    <n v="1056"/>
    <x v="229"/>
    <x v="3"/>
    <x v="0"/>
    <n v="6629.16"/>
    <n v="37"/>
    <x v="3"/>
    <n v="1555.41"/>
    <n v="1609.94"/>
    <s v="Returning"/>
    <x v="28"/>
    <x v="2"/>
    <x v="0"/>
    <x v="7"/>
  </r>
  <r>
    <n v="1033"/>
    <x v="304"/>
    <x v="3"/>
    <x v="3"/>
    <n v="7982.79"/>
    <n v="18"/>
    <x v="0"/>
    <n v="3124.48"/>
    <n v="3553.27"/>
    <s v="Returning"/>
    <x v="7"/>
    <x v="0"/>
    <x v="1"/>
    <x v="14"/>
  </r>
  <r>
    <n v="1038"/>
    <x v="305"/>
    <x v="3"/>
    <x v="1"/>
    <n v="2792.27"/>
    <n v="24"/>
    <x v="2"/>
    <n v="1543.91"/>
    <n v="1862.88"/>
    <s v="New"/>
    <x v="0"/>
    <x v="1"/>
    <x v="0"/>
    <x v="8"/>
  </r>
  <r>
    <n v="1006"/>
    <x v="278"/>
    <x v="0"/>
    <x v="3"/>
    <n v="6954.35"/>
    <n v="14"/>
    <x v="1"/>
    <n v="4503.7299999999996"/>
    <n v="4879.8799999999901"/>
    <s v="New"/>
    <x v="19"/>
    <x v="1"/>
    <x v="1"/>
    <x v="12"/>
  </r>
  <r>
    <n v="1058"/>
    <x v="147"/>
    <x v="1"/>
    <x v="0"/>
    <n v="2714.21"/>
    <n v="34"/>
    <x v="3"/>
    <n v="3160.61"/>
    <n v="3273.22"/>
    <s v="Returning"/>
    <x v="4"/>
    <x v="2"/>
    <x v="1"/>
    <x v="11"/>
  </r>
  <r>
    <n v="1044"/>
    <x v="306"/>
    <x v="1"/>
    <x v="1"/>
    <n v="9396.7800000000007"/>
    <n v="12"/>
    <x v="3"/>
    <n v="2221.31"/>
    <n v="2494.48"/>
    <s v="Returning"/>
    <x v="20"/>
    <x v="1"/>
    <x v="0"/>
    <x v="13"/>
  </r>
  <r>
    <n v="1045"/>
    <x v="307"/>
    <x v="4"/>
    <x v="1"/>
    <n v="6400.11"/>
    <n v="22"/>
    <x v="2"/>
    <n v="241.85"/>
    <n v="613.09"/>
    <s v="Returning"/>
    <x v="18"/>
    <x v="0"/>
    <x v="0"/>
    <x v="17"/>
  </r>
  <r>
    <n v="1032"/>
    <x v="253"/>
    <x v="3"/>
    <x v="0"/>
    <n v="3312.67"/>
    <n v="6"/>
    <x v="2"/>
    <n v="2522.7600000000002"/>
    <n v="2840.14"/>
    <s v="Returning"/>
    <x v="17"/>
    <x v="2"/>
    <x v="1"/>
    <x v="7"/>
  </r>
  <r>
    <n v="1045"/>
    <x v="277"/>
    <x v="1"/>
    <x v="0"/>
    <n v="2768.17"/>
    <n v="36"/>
    <x v="3"/>
    <n v="3835.64"/>
    <n v="4076.77"/>
    <s v="Returning"/>
    <x v="15"/>
    <x v="2"/>
    <x v="1"/>
    <x v="11"/>
  </r>
  <r>
    <n v="1061"/>
    <x v="64"/>
    <x v="4"/>
    <x v="0"/>
    <n v="1990.17"/>
    <n v="45"/>
    <x v="2"/>
    <n v="1364.51"/>
    <n v="1844.8"/>
    <s v="Returning"/>
    <x v="13"/>
    <x v="0"/>
    <x v="0"/>
    <x v="15"/>
  </r>
  <r>
    <n v="1047"/>
    <x v="308"/>
    <x v="1"/>
    <x v="0"/>
    <n v="6976.95"/>
    <n v="36"/>
    <x v="1"/>
    <n v="4043.53"/>
    <n v="4384.8500000000004"/>
    <s v="New"/>
    <x v="6"/>
    <x v="0"/>
    <x v="0"/>
    <x v="11"/>
  </r>
  <r>
    <n v="1021"/>
    <x v="309"/>
    <x v="3"/>
    <x v="0"/>
    <n v="2265.2800000000002"/>
    <n v="22"/>
    <x v="3"/>
    <n v="1296.44"/>
    <n v="1751.24"/>
    <s v="New"/>
    <x v="20"/>
    <x v="0"/>
    <x v="0"/>
    <x v="7"/>
  </r>
  <r>
    <n v="1080"/>
    <x v="217"/>
    <x v="2"/>
    <x v="1"/>
    <n v="5993.5"/>
    <n v="14"/>
    <x v="1"/>
    <n v="4127.54"/>
    <n v="4495.13"/>
    <s v="New"/>
    <x v="18"/>
    <x v="1"/>
    <x v="1"/>
    <x v="5"/>
  </r>
  <r>
    <n v="1085"/>
    <x v="212"/>
    <x v="3"/>
    <x v="1"/>
    <n v="2719.89"/>
    <n v="16"/>
    <x v="1"/>
    <n v="472.08"/>
    <n v="842.46"/>
    <s v="New"/>
    <x v="11"/>
    <x v="0"/>
    <x v="1"/>
    <x v="8"/>
  </r>
  <r>
    <n v="1075"/>
    <x v="48"/>
    <x v="0"/>
    <x v="3"/>
    <n v="6653.49"/>
    <n v="36"/>
    <x v="2"/>
    <n v="4337.6099999999997"/>
    <n v="4386.82"/>
    <s v="Returning"/>
    <x v="10"/>
    <x v="2"/>
    <x v="0"/>
    <x v="12"/>
  </r>
  <r>
    <n v="1036"/>
    <x v="236"/>
    <x v="1"/>
    <x v="3"/>
    <n v="8167.9"/>
    <n v="25"/>
    <x v="1"/>
    <n v="2520.9699999999998"/>
    <n v="2707.1099999999901"/>
    <s v="New"/>
    <x v="26"/>
    <x v="0"/>
    <x v="1"/>
    <x v="16"/>
  </r>
  <r>
    <n v="1099"/>
    <x v="306"/>
    <x v="1"/>
    <x v="2"/>
    <n v="7802.45"/>
    <n v="32"/>
    <x v="2"/>
    <n v="1517.86"/>
    <n v="1948.46"/>
    <s v="New"/>
    <x v="3"/>
    <x v="2"/>
    <x v="0"/>
    <x v="2"/>
  </r>
  <r>
    <n v="1019"/>
    <x v="310"/>
    <x v="0"/>
    <x v="3"/>
    <n v="7632.43"/>
    <n v="33"/>
    <x v="0"/>
    <n v="1362.31"/>
    <n v="1486.29"/>
    <s v="Returning"/>
    <x v="13"/>
    <x v="2"/>
    <x v="1"/>
    <x v="12"/>
  </r>
  <r>
    <n v="1020"/>
    <x v="207"/>
    <x v="0"/>
    <x v="3"/>
    <n v="1958.45"/>
    <n v="45"/>
    <x v="2"/>
    <n v="2188.4499999999998"/>
    <n v="2255.0499999999902"/>
    <s v="New"/>
    <x v="1"/>
    <x v="1"/>
    <x v="1"/>
    <x v="12"/>
  </r>
  <r>
    <n v="1057"/>
    <x v="31"/>
    <x v="2"/>
    <x v="0"/>
    <n v="975.01"/>
    <n v="36"/>
    <x v="1"/>
    <n v="4995.3"/>
    <n v="5165.09"/>
    <s v="Returning"/>
    <x v="19"/>
    <x v="0"/>
    <x v="0"/>
    <x v="19"/>
  </r>
  <r>
    <n v="1018"/>
    <x v="112"/>
    <x v="1"/>
    <x v="0"/>
    <n v="7019.59"/>
    <n v="20"/>
    <x v="0"/>
    <n v="1140.6199999999999"/>
    <n v="1258.6299999999901"/>
    <s v="Returning"/>
    <x v="16"/>
    <x v="1"/>
    <x v="0"/>
    <x v="11"/>
  </r>
  <r>
    <n v="1047"/>
    <x v="294"/>
    <x v="1"/>
    <x v="3"/>
    <n v="3746.64"/>
    <n v="18"/>
    <x v="2"/>
    <n v="560.91999999999996"/>
    <n v="1024.31"/>
    <s v="Returning"/>
    <x v="16"/>
    <x v="0"/>
    <x v="0"/>
    <x v="16"/>
  </r>
  <r>
    <n v="1049"/>
    <x v="147"/>
    <x v="2"/>
    <x v="2"/>
    <n v="4380.2299999999996"/>
    <n v="38"/>
    <x v="1"/>
    <n v="2945.92"/>
    <n v="3381.22"/>
    <s v="Returning"/>
    <x v="10"/>
    <x v="0"/>
    <x v="1"/>
    <x v="10"/>
  </r>
  <r>
    <n v="1014"/>
    <x v="189"/>
    <x v="4"/>
    <x v="0"/>
    <n v="408.38"/>
    <n v="3"/>
    <x v="3"/>
    <n v="2468.29"/>
    <n v="2723.13"/>
    <s v="Returning"/>
    <x v="4"/>
    <x v="0"/>
    <x v="1"/>
    <x v="15"/>
  </r>
  <r>
    <n v="1015"/>
    <x v="118"/>
    <x v="2"/>
    <x v="3"/>
    <n v="2669.81"/>
    <n v="23"/>
    <x v="3"/>
    <n v="2644.77"/>
    <n v="2684.83"/>
    <s v="New"/>
    <x v="19"/>
    <x v="0"/>
    <x v="0"/>
    <x v="4"/>
  </r>
  <r>
    <n v="1031"/>
    <x v="218"/>
    <x v="3"/>
    <x v="3"/>
    <n v="433.4"/>
    <n v="32"/>
    <x v="2"/>
    <n v="3351.33"/>
    <n v="3711.47"/>
    <s v="New"/>
    <x v="28"/>
    <x v="0"/>
    <x v="1"/>
    <x v="14"/>
  </r>
  <r>
    <n v="1001"/>
    <x v="64"/>
    <x v="1"/>
    <x v="1"/>
    <n v="8803.94"/>
    <n v="45"/>
    <x v="2"/>
    <n v="1372.36"/>
    <n v="1687.83"/>
    <s v="New"/>
    <x v="3"/>
    <x v="2"/>
    <x v="0"/>
    <x v="13"/>
  </r>
  <r>
    <n v="1054"/>
    <x v="311"/>
    <x v="0"/>
    <x v="2"/>
    <n v="2509.63"/>
    <n v="16"/>
    <x v="3"/>
    <n v="4557.79"/>
    <n v="5043.3599999999997"/>
    <s v="Returning"/>
    <x v="6"/>
    <x v="2"/>
    <x v="1"/>
    <x v="3"/>
  </r>
  <r>
    <n v="1003"/>
    <x v="312"/>
    <x v="3"/>
    <x v="1"/>
    <n v="5617.64"/>
    <n v="5"/>
    <x v="1"/>
    <n v="2206.58"/>
    <n v="2490.4699999999998"/>
    <s v="New"/>
    <x v="24"/>
    <x v="0"/>
    <x v="0"/>
    <x v="8"/>
  </r>
  <r>
    <n v="1016"/>
    <x v="313"/>
    <x v="1"/>
    <x v="2"/>
    <n v="485.9"/>
    <n v="4"/>
    <x v="1"/>
    <n v="688.98"/>
    <n v="863.81"/>
    <s v="New"/>
    <x v="29"/>
    <x v="2"/>
    <x v="1"/>
    <x v="2"/>
  </r>
  <r>
    <n v="1087"/>
    <x v="267"/>
    <x v="2"/>
    <x v="0"/>
    <n v="6701.79"/>
    <n v="21"/>
    <x v="1"/>
    <n v="3724.38"/>
    <n v="3988.7"/>
    <s v="New"/>
    <x v="21"/>
    <x v="1"/>
    <x v="1"/>
    <x v="19"/>
  </r>
  <r>
    <n v="1057"/>
    <x v="105"/>
    <x v="3"/>
    <x v="2"/>
    <n v="3297.97"/>
    <n v="40"/>
    <x v="2"/>
    <n v="3233.37"/>
    <n v="3723.21"/>
    <s v="New"/>
    <x v="20"/>
    <x v="1"/>
    <x v="1"/>
    <x v="6"/>
  </r>
  <r>
    <n v="1075"/>
    <x v="185"/>
    <x v="1"/>
    <x v="3"/>
    <n v="8989.4"/>
    <n v="14"/>
    <x v="0"/>
    <n v="1612.93"/>
    <n v="1964.15"/>
    <s v="Returning"/>
    <x v="19"/>
    <x v="1"/>
    <x v="1"/>
    <x v="16"/>
  </r>
  <r>
    <n v="1012"/>
    <x v="73"/>
    <x v="4"/>
    <x v="3"/>
    <n v="8892.3700000000008"/>
    <n v="39"/>
    <x v="0"/>
    <n v="3126.52"/>
    <n v="3465.79"/>
    <s v="New"/>
    <x v="4"/>
    <x v="0"/>
    <x v="0"/>
    <x v="18"/>
  </r>
  <r>
    <n v="1074"/>
    <x v="248"/>
    <x v="4"/>
    <x v="2"/>
    <n v="3320.38"/>
    <n v="31"/>
    <x v="0"/>
    <n v="1138.32"/>
    <n v="1266.25"/>
    <s v="Returning"/>
    <x v="6"/>
    <x v="0"/>
    <x v="1"/>
    <x v="9"/>
  </r>
  <r>
    <n v="1096"/>
    <x v="309"/>
    <x v="0"/>
    <x v="2"/>
    <n v="9019.51"/>
    <n v="14"/>
    <x v="0"/>
    <n v="2251.9499999999998"/>
    <n v="2626.3199999999902"/>
    <s v="Returning"/>
    <x v="5"/>
    <x v="2"/>
    <x v="0"/>
    <x v="3"/>
  </r>
  <r>
    <n v="1016"/>
    <x v="55"/>
    <x v="1"/>
    <x v="2"/>
    <n v="9961.9599999999991"/>
    <n v="6"/>
    <x v="0"/>
    <n v="4502.09"/>
    <n v="4879.72"/>
    <s v="New"/>
    <x v="9"/>
    <x v="2"/>
    <x v="0"/>
    <x v="2"/>
  </r>
  <r>
    <n v="1072"/>
    <x v="314"/>
    <x v="4"/>
    <x v="1"/>
    <n v="8271.6200000000008"/>
    <n v="12"/>
    <x v="2"/>
    <n v="710.99"/>
    <n v="876.46"/>
    <s v="Returning"/>
    <x v="21"/>
    <x v="2"/>
    <x v="0"/>
    <x v="17"/>
  </r>
  <r>
    <n v="1076"/>
    <x v="172"/>
    <x v="2"/>
    <x v="2"/>
    <n v="8464.23"/>
    <n v="16"/>
    <x v="2"/>
    <n v="1964.15"/>
    <n v="2211.17"/>
    <s v="Returning"/>
    <x v="5"/>
    <x v="1"/>
    <x v="0"/>
    <x v="10"/>
  </r>
  <r>
    <n v="1024"/>
    <x v="143"/>
    <x v="1"/>
    <x v="0"/>
    <n v="2565.19"/>
    <n v="17"/>
    <x v="0"/>
    <n v="4114.66"/>
    <n v="4269.0199999999904"/>
    <s v="Returning"/>
    <x v="29"/>
    <x v="1"/>
    <x v="1"/>
    <x v="11"/>
  </r>
  <r>
    <n v="1028"/>
    <x v="34"/>
    <x v="2"/>
    <x v="1"/>
    <n v="5809.35"/>
    <n v="45"/>
    <x v="2"/>
    <n v="4848.9799999999996"/>
    <n v="4985.75"/>
    <s v="Returning"/>
    <x v="2"/>
    <x v="1"/>
    <x v="0"/>
    <x v="5"/>
  </r>
  <r>
    <n v="1008"/>
    <x v="266"/>
    <x v="2"/>
    <x v="1"/>
    <n v="765.83"/>
    <n v="23"/>
    <x v="2"/>
    <n v="2296.9299999999998"/>
    <n v="2319.62"/>
    <s v="Returning"/>
    <x v="10"/>
    <x v="1"/>
    <x v="1"/>
    <x v="5"/>
  </r>
  <r>
    <n v="1092"/>
    <x v="217"/>
    <x v="4"/>
    <x v="2"/>
    <n v="1039.69"/>
    <n v="14"/>
    <x v="0"/>
    <n v="2559.65"/>
    <n v="2709.4"/>
    <s v="Returning"/>
    <x v="1"/>
    <x v="2"/>
    <x v="1"/>
    <x v="9"/>
  </r>
  <r>
    <n v="1036"/>
    <x v="176"/>
    <x v="1"/>
    <x v="0"/>
    <n v="9989.0400000000009"/>
    <n v="7"/>
    <x v="1"/>
    <n v="2882.25"/>
    <n v="3163.7"/>
    <s v="Returning"/>
    <x v="8"/>
    <x v="0"/>
    <x v="1"/>
    <x v="11"/>
  </r>
  <r>
    <n v="1090"/>
    <x v="13"/>
    <x v="3"/>
    <x v="1"/>
    <n v="3333.73"/>
    <n v="46"/>
    <x v="2"/>
    <n v="4665.12"/>
    <n v="4675.8999999999996"/>
    <s v="New"/>
    <x v="27"/>
    <x v="0"/>
    <x v="1"/>
    <x v="8"/>
  </r>
  <r>
    <n v="1008"/>
    <x v="315"/>
    <x v="4"/>
    <x v="3"/>
    <n v="7507.02"/>
    <n v="32"/>
    <x v="1"/>
    <n v="4298.12"/>
    <n v="4446.8999999999996"/>
    <s v="New"/>
    <x v="15"/>
    <x v="1"/>
    <x v="0"/>
    <x v="18"/>
  </r>
  <r>
    <n v="1058"/>
    <x v="49"/>
    <x v="4"/>
    <x v="1"/>
    <n v="8085.98"/>
    <n v="15"/>
    <x v="2"/>
    <n v="894.48"/>
    <n v="1336.37"/>
    <s v="Returning"/>
    <x v="16"/>
    <x v="0"/>
    <x v="1"/>
    <x v="17"/>
  </r>
  <r>
    <n v="1060"/>
    <x v="316"/>
    <x v="1"/>
    <x v="2"/>
    <n v="8594.43"/>
    <n v="44"/>
    <x v="2"/>
    <n v="2211.9499999999998"/>
    <n v="2512.8399999999901"/>
    <s v="Returning"/>
    <x v="14"/>
    <x v="0"/>
    <x v="0"/>
    <x v="2"/>
  </r>
  <r>
    <n v="1050"/>
    <x v="314"/>
    <x v="1"/>
    <x v="0"/>
    <n v="9976.52"/>
    <n v="17"/>
    <x v="0"/>
    <n v="2346.8000000000002"/>
    <n v="2654.65"/>
    <s v="New"/>
    <x v="9"/>
    <x v="0"/>
    <x v="1"/>
    <x v="11"/>
  </r>
  <r>
    <n v="1028"/>
    <x v="185"/>
    <x v="2"/>
    <x v="2"/>
    <n v="2490.8200000000002"/>
    <n v="41"/>
    <x v="2"/>
    <n v="3956.03"/>
    <n v="4163.68"/>
    <s v="New"/>
    <x v="7"/>
    <x v="1"/>
    <x v="1"/>
    <x v="10"/>
  </r>
  <r>
    <n v="1092"/>
    <x v="78"/>
    <x v="1"/>
    <x v="3"/>
    <n v="499.47"/>
    <n v="47"/>
    <x v="3"/>
    <n v="3034.32"/>
    <n v="3375.79"/>
    <s v="New"/>
    <x v="24"/>
    <x v="2"/>
    <x v="0"/>
    <x v="16"/>
  </r>
  <r>
    <n v="1041"/>
    <x v="88"/>
    <x v="2"/>
    <x v="3"/>
    <n v="4170.8"/>
    <n v="44"/>
    <x v="3"/>
    <n v="3288.39"/>
    <n v="3391.46"/>
    <s v="New"/>
    <x v="8"/>
    <x v="2"/>
    <x v="1"/>
    <x v="4"/>
  </r>
  <r>
    <n v="1100"/>
    <x v="38"/>
    <x v="4"/>
    <x v="3"/>
    <n v="1387.8"/>
    <n v="34"/>
    <x v="0"/>
    <n v="4991.09"/>
    <n v="5402.28"/>
    <s v="Returning"/>
    <x v="11"/>
    <x v="0"/>
    <x v="1"/>
    <x v="18"/>
  </r>
  <r>
    <n v="1064"/>
    <x v="195"/>
    <x v="0"/>
    <x v="2"/>
    <n v="322.02"/>
    <n v="5"/>
    <x v="1"/>
    <n v="421.05"/>
    <n v="488.23"/>
    <s v="Returning"/>
    <x v="17"/>
    <x v="2"/>
    <x v="1"/>
    <x v="3"/>
  </r>
  <r>
    <n v="1027"/>
    <x v="299"/>
    <x v="3"/>
    <x v="1"/>
    <n v="3668.23"/>
    <n v="45"/>
    <x v="1"/>
    <n v="1153.9000000000001"/>
    <n v="1485.34"/>
    <s v="New"/>
    <x v="26"/>
    <x v="2"/>
    <x v="1"/>
    <x v="8"/>
  </r>
  <r>
    <n v="1063"/>
    <x v="235"/>
    <x v="4"/>
    <x v="2"/>
    <n v="7859.01"/>
    <n v="27"/>
    <x v="1"/>
    <n v="2069.08"/>
    <n v="2246.2399999999998"/>
    <s v="New"/>
    <x v="18"/>
    <x v="1"/>
    <x v="1"/>
    <x v="9"/>
  </r>
  <r>
    <n v="1017"/>
    <x v="125"/>
    <x v="1"/>
    <x v="0"/>
    <n v="5705.19"/>
    <n v="23"/>
    <x v="3"/>
    <n v="1771.52"/>
    <n v="2147.8000000000002"/>
    <s v="New"/>
    <x v="17"/>
    <x v="1"/>
    <x v="0"/>
    <x v="11"/>
  </r>
  <r>
    <n v="1073"/>
    <x v="317"/>
    <x v="3"/>
    <x v="1"/>
    <n v="3196.5"/>
    <n v="40"/>
    <x v="1"/>
    <n v="157.15"/>
    <n v="436.53"/>
    <s v="New"/>
    <x v="14"/>
    <x v="0"/>
    <x v="1"/>
    <x v="8"/>
  </r>
  <r>
    <n v="1033"/>
    <x v="318"/>
    <x v="0"/>
    <x v="3"/>
    <n v="6577.99"/>
    <n v="14"/>
    <x v="1"/>
    <n v="504.3"/>
    <n v="735.95"/>
    <s v="Returning"/>
    <x v="5"/>
    <x v="0"/>
    <x v="1"/>
    <x v="12"/>
  </r>
  <r>
    <n v="1084"/>
    <x v="50"/>
    <x v="0"/>
    <x v="2"/>
    <n v="2396.98"/>
    <n v="15"/>
    <x v="0"/>
    <n v="3420.72"/>
    <n v="3513.74"/>
    <s v="New"/>
    <x v="3"/>
    <x v="0"/>
    <x v="0"/>
    <x v="3"/>
  </r>
  <r>
    <n v="1077"/>
    <x v="244"/>
    <x v="2"/>
    <x v="3"/>
    <n v="242.38"/>
    <n v="43"/>
    <x v="1"/>
    <n v="4402.66"/>
    <n v="4724.7"/>
    <s v="New"/>
    <x v="15"/>
    <x v="1"/>
    <x v="1"/>
    <x v="4"/>
  </r>
  <r>
    <n v="1092"/>
    <x v="319"/>
    <x v="3"/>
    <x v="3"/>
    <n v="7667.1"/>
    <n v="33"/>
    <x v="3"/>
    <n v="2595.42"/>
    <n v="3083.06"/>
    <s v="New"/>
    <x v="4"/>
    <x v="2"/>
    <x v="0"/>
    <x v="14"/>
  </r>
  <r>
    <n v="1029"/>
    <x v="172"/>
    <x v="2"/>
    <x v="0"/>
    <n v="6275.06"/>
    <n v="31"/>
    <x v="3"/>
    <n v="2719"/>
    <n v="3133.55"/>
    <s v="Returning"/>
    <x v="22"/>
    <x v="1"/>
    <x v="1"/>
    <x v="19"/>
  </r>
  <r>
    <n v="1013"/>
    <x v="267"/>
    <x v="4"/>
    <x v="1"/>
    <n v="7646.8"/>
    <n v="35"/>
    <x v="3"/>
    <n v="1312.71"/>
    <n v="1352.11"/>
    <s v="Returning"/>
    <x v="20"/>
    <x v="1"/>
    <x v="1"/>
    <x v="17"/>
  </r>
  <r>
    <n v="1046"/>
    <x v="251"/>
    <x v="3"/>
    <x v="0"/>
    <n v="485.49"/>
    <n v="17"/>
    <x v="0"/>
    <n v="3850.99"/>
    <n v="4045.3399999999901"/>
    <s v="Returning"/>
    <x v="28"/>
    <x v="2"/>
    <x v="0"/>
    <x v="7"/>
  </r>
  <r>
    <n v="1035"/>
    <x v="320"/>
    <x v="4"/>
    <x v="0"/>
    <n v="8387.48"/>
    <n v="28"/>
    <x v="0"/>
    <n v="3771.38"/>
    <n v="4234.92"/>
    <s v="New"/>
    <x v="24"/>
    <x v="2"/>
    <x v="1"/>
    <x v="15"/>
  </r>
  <r>
    <n v="1006"/>
    <x v="211"/>
    <x v="2"/>
    <x v="0"/>
    <n v="6233.31"/>
    <n v="19"/>
    <x v="2"/>
    <n v="2962.41"/>
    <n v="3218.8999999999901"/>
    <s v="New"/>
    <x v="12"/>
    <x v="0"/>
    <x v="1"/>
    <x v="19"/>
  </r>
  <r>
    <n v="1082"/>
    <x v="150"/>
    <x v="3"/>
    <x v="3"/>
    <n v="5677.61"/>
    <n v="46"/>
    <x v="1"/>
    <n v="1102.69"/>
    <n v="1437.12"/>
    <s v="New"/>
    <x v="1"/>
    <x v="2"/>
    <x v="0"/>
    <x v="14"/>
  </r>
  <r>
    <n v="1069"/>
    <x v="321"/>
    <x v="2"/>
    <x v="0"/>
    <n v="6283.68"/>
    <n v="23"/>
    <x v="0"/>
    <n v="530.24"/>
    <n v="987.41"/>
    <s v="Returning"/>
    <x v="10"/>
    <x v="2"/>
    <x v="0"/>
    <x v="19"/>
  </r>
  <r>
    <n v="1047"/>
    <x v="93"/>
    <x v="3"/>
    <x v="0"/>
    <n v="8657.89"/>
    <n v="32"/>
    <x v="3"/>
    <n v="367.98"/>
    <n v="806.14"/>
    <s v="Returning"/>
    <x v="20"/>
    <x v="2"/>
    <x v="1"/>
    <x v="7"/>
  </r>
  <r>
    <n v="1025"/>
    <x v="319"/>
    <x v="2"/>
    <x v="1"/>
    <n v="5910.67"/>
    <n v="40"/>
    <x v="3"/>
    <n v="2983.85"/>
    <n v="3239.74"/>
    <s v="New"/>
    <x v="29"/>
    <x v="2"/>
    <x v="0"/>
    <x v="5"/>
  </r>
  <r>
    <n v="1066"/>
    <x v="193"/>
    <x v="0"/>
    <x v="1"/>
    <n v="5851.41"/>
    <n v="13"/>
    <x v="0"/>
    <n v="4133.92"/>
    <n v="4358.37"/>
    <s v="New"/>
    <x v="9"/>
    <x v="0"/>
    <x v="1"/>
    <x v="1"/>
  </r>
  <r>
    <n v="1010"/>
    <x v="178"/>
    <x v="2"/>
    <x v="0"/>
    <n v="9907.7199999999993"/>
    <n v="20"/>
    <x v="0"/>
    <n v="4298.74"/>
    <n v="4475.1899999999996"/>
    <s v="Returning"/>
    <x v="28"/>
    <x v="0"/>
    <x v="0"/>
    <x v="19"/>
  </r>
  <r>
    <n v="1056"/>
    <x v="322"/>
    <x v="0"/>
    <x v="1"/>
    <n v="7591.63"/>
    <n v="35"/>
    <x v="0"/>
    <n v="2344.9299999999998"/>
    <n v="2707.25"/>
    <s v="New"/>
    <x v="7"/>
    <x v="2"/>
    <x v="1"/>
    <x v="1"/>
  </r>
  <r>
    <n v="1030"/>
    <x v="254"/>
    <x v="2"/>
    <x v="1"/>
    <n v="4478.71"/>
    <n v="5"/>
    <x v="2"/>
    <n v="3932.14"/>
    <n v="4082.7599999999902"/>
    <s v="New"/>
    <x v="16"/>
    <x v="2"/>
    <x v="0"/>
    <x v="5"/>
  </r>
  <r>
    <n v="1005"/>
    <x v="175"/>
    <x v="3"/>
    <x v="0"/>
    <n v="7103.23"/>
    <n v="9"/>
    <x v="3"/>
    <n v="4737.0600000000004"/>
    <n v="4869.5"/>
    <s v="New"/>
    <x v="17"/>
    <x v="0"/>
    <x v="0"/>
    <x v="7"/>
  </r>
  <r>
    <n v="1033"/>
    <x v="257"/>
    <x v="3"/>
    <x v="3"/>
    <n v="3953.38"/>
    <n v="29"/>
    <x v="2"/>
    <n v="1412.09"/>
    <n v="1596.6499999999901"/>
    <s v="Returning"/>
    <x v="17"/>
    <x v="0"/>
    <x v="0"/>
    <x v="14"/>
  </r>
  <r>
    <n v="1065"/>
    <x v="212"/>
    <x v="3"/>
    <x v="0"/>
    <n v="2365.87"/>
    <n v="6"/>
    <x v="2"/>
    <n v="2019.9"/>
    <n v="2116.7399999999998"/>
    <s v="New"/>
    <x v="1"/>
    <x v="2"/>
    <x v="0"/>
    <x v="7"/>
  </r>
  <r>
    <n v="1018"/>
    <x v="157"/>
    <x v="1"/>
    <x v="1"/>
    <n v="6008.83"/>
    <n v="25"/>
    <x v="1"/>
    <n v="4660.82"/>
    <n v="5011.4299999999903"/>
    <s v="New"/>
    <x v="17"/>
    <x v="1"/>
    <x v="0"/>
    <x v="13"/>
  </r>
  <r>
    <n v="1096"/>
    <x v="323"/>
    <x v="4"/>
    <x v="3"/>
    <n v="9289"/>
    <n v="31"/>
    <x v="3"/>
    <n v="1724.24"/>
    <n v="2036.2"/>
    <s v="New"/>
    <x v="22"/>
    <x v="0"/>
    <x v="0"/>
    <x v="18"/>
  </r>
  <r>
    <n v="1049"/>
    <x v="39"/>
    <x v="3"/>
    <x v="2"/>
    <n v="9298.48"/>
    <n v="22"/>
    <x v="3"/>
    <n v="4573.6899999999996"/>
    <n v="4820.2999999999902"/>
    <s v="New"/>
    <x v="14"/>
    <x v="0"/>
    <x v="0"/>
    <x v="6"/>
  </r>
  <r>
    <n v="1011"/>
    <x v="324"/>
    <x v="0"/>
    <x v="3"/>
    <n v="3484.86"/>
    <n v="2"/>
    <x v="0"/>
    <n v="4906.17"/>
    <n v="5107.43"/>
    <s v="Returning"/>
    <x v="15"/>
    <x v="0"/>
    <x v="0"/>
    <x v="12"/>
  </r>
  <r>
    <n v="1085"/>
    <x v="325"/>
    <x v="3"/>
    <x v="1"/>
    <n v="5324.01"/>
    <n v="45"/>
    <x v="0"/>
    <n v="3325.96"/>
    <n v="3781.4"/>
    <s v="Returning"/>
    <x v="29"/>
    <x v="2"/>
    <x v="0"/>
    <x v="8"/>
  </r>
  <r>
    <n v="1026"/>
    <x v="45"/>
    <x v="1"/>
    <x v="3"/>
    <n v="2195.1999999999998"/>
    <n v="5"/>
    <x v="1"/>
    <n v="4093.61"/>
    <n v="4117.88"/>
    <s v="Returning"/>
    <x v="7"/>
    <x v="2"/>
    <x v="1"/>
    <x v="16"/>
  </r>
  <r>
    <n v="1063"/>
    <x v="11"/>
    <x v="0"/>
    <x v="0"/>
    <n v="9956.75"/>
    <n v="27"/>
    <x v="2"/>
    <n v="3760.25"/>
    <n v="4147.1099999999997"/>
    <s v="New"/>
    <x v="20"/>
    <x v="0"/>
    <x v="0"/>
    <x v="0"/>
  </r>
  <r>
    <n v="1089"/>
    <x v="178"/>
    <x v="1"/>
    <x v="2"/>
    <n v="9813.07"/>
    <n v="25"/>
    <x v="0"/>
    <n v="3512.69"/>
    <n v="3964.63"/>
    <s v="Returning"/>
    <x v="21"/>
    <x v="2"/>
    <x v="1"/>
    <x v="2"/>
  </r>
  <r>
    <n v="1086"/>
    <x v="21"/>
    <x v="0"/>
    <x v="2"/>
    <n v="6530.14"/>
    <n v="8"/>
    <x v="0"/>
    <n v="1569.31"/>
    <n v="1798.02"/>
    <s v="New"/>
    <x v="17"/>
    <x v="2"/>
    <x v="0"/>
    <x v="3"/>
  </r>
  <r>
    <n v="1059"/>
    <x v="292"/>
    <x v="2"/>
    <x v="2"/>
    <n v="8063.7"/>
    <n v="1"/>
    <x v="3"/>
    <n v="332.62"/>
    <n v="612.46"/>
    <s v="Returning"/>
    <x v="19"/>
    <x v="0"/>
    <x v="1"/>
    <x v="10"/>
  </r>
  <r>
    <n v="1027"/>
    <x v="118"/>
    <x v="4"/>
    <x v="1"/>
    <n v="7179.49"/>
    <n v="20"/>
    <x v="3"/>
    <n v="1748.11"/>
    <n v="2220.9"/>
    <s v="New"/>
    <x v="10"/>
    <x v="2"/>
    <x v="1"/>
    <x v="17"/>
  </r>
  <r>
    <n v="1049"/>
    <x v="326"/>
    <x v="4"/>
    <x v="1"/>
    <n v="5972.27"/>
    <n v="44"/>
    <x v="0"/>
    <n v="3351.33"/>
    <n v="3465.35"/>
    <s v="Returning"/>
    <x v="7"/>
    <x v="1"/>
    <x v="0"/>
    <x v="17"/>
  </r>
  <r>
    <n v="1077"/>
    <x v="178"/>
    <x v="1"/>
    <x v="2"/>
    <n v="628.15"/>
    <n v="23"/>
    <x v="3"/>
    <n v="557.52"/>
    <n v="822.39"/>
    <s v="Returning"/>
    <x v="12"/>
    <x v="2"/>
    <x v="0"/>
    <x v="2"/>
  </r>
  <r>
    <n v="1033"/>
    <x v="121"/>
    <x v="4"/>
    <x v="3"/>
    <n v="4602.17"/>
    <n v="32"/>
    <x v="1"/>
    <n v="108.99"/>
    <n v="351.6"/>
    <s v="Returning"/>
    <x v="29"/>
    <x v="2"/>
    <x v="1"/>
    <x v="18"/>
  </r>
  <r>
    <n v="1098"/>
    <x v="37"/>
    <x v="1"/>
    <x v="2"/>
    <n v="6780.38"/>
    <n v="11"/>
    <x v="0"/>
    <n v="741.48"/>
    <n v="878.09"/>
    <s v="New"/>
    <x v="12"/>
    <x v="0"/>
    <x v="1"/>
    <x v="2"/>
  </r>
  <r>
    <n v="1099"/>
    <x v="108"/>
    <x v="1"/>
    <x v="3"/>
    <n v="6807.56"/>
    <n v="39"/>
    <x v="3"/>
    <n v="3592.89"/>
    <n v="4004"/>
    <s v="New"/>
    <x v="9"/>
    <x v="0"/>
    <x v="0"/>
    <x v="16"/>
  </r>
  <r>
    <n v="1001"/>
    <x v="75"/>
    <x v="1"/>
    <x v="3"/>
    <n v="3793.91"/>
    <n v="47"/>
    <x v="1"/>
    <n v="4865.33"/>
    <n v="5316.13"/>
    <s v="New"/>
    <x v="18"/>
    <x v="1"/>
    <x v="0"/>
    <x v="16"/>
  </r>
  <r>
    <n v="1021"/>
    <x v="193"/>
    <x v="4"/>
    <x v="1"/>
    <n v="9422.75"/>
    <n v="24"/>
    <x v="3"/>
    <n v="4916.17"/>
    <n v="5309.32"/>
    <s v="Returning"/>
    <x v="27"/>
    <x v="2"/>
    <x v="0"/>
    <x v="17"/>
  </r>
  <r>
    <n v="1055"/>
    <x v="76"/>
    <x v="1"/>
    <x v="3"/>
    <n v="1756.83"/>
    <n v="11"/>
    <x v="3"/>
    <n v="2495.1999999999998"/>
    <n v="2600.9299999999998"/>
    <s v="New"/>
    <x v="5"/>
    <x v="1"/>
    <x v="1"/>
    <x v="16"/>
  </r>
  <r>
    <n v="1006"/>
    <x v="320"/>
    <x v="4"/>
    <x v="2"/>
    <n v="5053.5600000000004"/>
    <n v="29"/>
    <x v="3"/>
    <n v="4353.29"/>
    <n v="4405.8"/>
    <s v="New"/>
    <x v="14"/>
    <x v="1"/>
    <x v="0"/>
    <x v="9"/>
  </r>
  <r>
    <n v="1092"/>
    <x v="243"/>
    <x v="1"/>
    <x v="1"/>
    <n v="6939.75"/>
    <n v="26"/>
    <x v="0"/>
    <n v="3697.29"/>
    <n v="4003.96"/>
    <s v="New"/>
    <x v="19"/>
    <x v="0"/>
    <x v="0"/>
    <x v="13"/>
  </r>
  <r>
    <n v="1081"/>
    <x v="222"/>
    <x v="3"/>
    <x v="0"/>
    <n v="7001.64"/>
    <n v="16"/>
    <x v="2"/>
    <n v="2530.15"/>
    <n v="2568.13"/>
    <s v="New"/>
    <x v="30"/>
    <x v="2"/>
    <x v="0"/>
    <x v="7"/>
  </r>
  <r>
    <n v="1069"/>
    <x v="181"/>
    <x v="1"/>
    <x v="0"/>
    <n v="6521.53"/>
    <n v="35"/>
    <x v="3"/>
    <n v="2885.16"/>
    <n v="3224.8399999999901"/>
    <s v="New"/>
    <x v="6"/>
    <x v="0"/>
    <x v="0"/>
    <x v="11"/>
  </r>
  <r>
    <n v="1095"/>
    <x v="3"/>
    <x v="0"/>
    <x v="1"/>
    <n v="2825.35"/>
    <n v="20"/>
    <x v="1"/>
    <n v="729.27"/>
    <n v="999.18"/>
    <s v="New"/>
    <x v="15"/>
    <x v="1"/>
    <x v="0"/>
    <x v="1"/>
  </r>
  <r>
    <n v="1005"/>
    <x v="154"/>
    <x v="1"/>
    <x v="2"/>
    <n v="1646.45"/>
    <n v="46"/>
    <x v="0"/>
    <n v="4691.42"/>
    <n v="5026.1899999999996"/>
    <s v="Returning"/>
    <x v="20"/>
    <x v="1"/>
    <x v="1"/>
    <x v="2"/>
  </r>
  <r>
    <n v="1003"/>
    <x v="327"/>
    <x v="2"/>
    <x v="0"/>
    <n v="6395.81"/>
    <n v="3"/>
    <x v="0"/>
    <n v="1792.05"/>
    <n v="2091.23"/>
    <s v="Returning"/>
    <x v="0"/>
    <x v="0"/>
    <x v="1"/>
    <x v="19"/>
  </r>
  <r>
    <n v="1053"/>
    <x v="131"/>
    <x v="1"/>
    <x v="0"/>
    <n v="6033.09"/>
    <n v="1"/>
    <x v="1"/>
    <n v="2258.44"/>
    <n v="2475.56"/>
    <s v="New"/>
    <x v="26"/>
    <x v="0"/>
    <x v="0"/>
    <x v="11"/>
  </r>
  <r>
    <n v="1023"/>
    <x v="296"/>
    <x v="0"/>
    <x v="3"/>
    <n v="1875.62"/>
    <n v="47"/>
    <x v="3"/>
    <n v="3374.72"/>
    <n v="3483.1499999999901"/>
    <s v="Returning"/>
    <x v="13"/>
    <x v="0"/>
    <x v="0"/>
    <x v="12"/>
  </r>
  <r>
    <n v="1053"/>
    <x v="76"/>
    <x v="0"/>
    <x v="3"/>
    <n v="7080.88"/>
    <n v="1"/>
    <x v="2"/>
    <n v="1702.82"/>
    <n v="1862.61"/>
    <s v="Returning"/>
    <x v="19"/>
    <x v="0"/>
    <x v="1"/>
    <x v="12"/>
  </r>
  <r>
    <n v="1037"/>
    <x v="291"/>
    <x v="4"/>
    <x v="2"/>
    <n v="4606.2"/>
    <n v="17"/>
    <x v="3"/>
    <n v="1308.58"/>
    <n v="1575.59"/>
    <s v="New"/>
    <x v="23"/>
    <x v="0"/>
    <x v="0"/>
    <x v="9"/>
  </r>
  <r>
    <n v="1074"/>
    <x v="216"/>
    <x v="3"/>
    <x v="1"/>
    <n v="6710.83"/>
    <n v="2"/>
    <x v="1"/>
    <n v="3173.69"/>
    <n v="3503.11"/>
    <s v="New"/>
    <x v="2"/>
    <x v="1"/>
    <x v="1"/>
    <x v="8"/>
  </r>
  <r>
    <n v="1074"/>
    <x v="160"/>
    <x v="1"/>
    <x v="2"/>
    <n v="8389.93"/>
    <n v="29"/>
    <x v="0"/>
    <n v="173.67"/>
    <n v="565.62"/>
    <s v="Returning"/>
    <x v="23"/>
    <x v="0"/>
    <x v="0"/>
    <x v="2"/>
  </r>
  <r>
    <n v="1083"/>
    <x v="325"/>
    <x v="4"/>
    <x v="1"/>
    <n v="1780.31"/>
    <n v="20"/>
    <x v="2"/>
    <n v="3617.59"/>
    <n v="4003.5"/>
    <s v="New"/>
    <x v="30"/>
    <x v="2"/>
    <x v="1"/>
    <x v="17"/>
  </r>
  <r>
    <n v="1017"/>
    <x v="120"/>
    <x v="3"/>
    <x v="0"/>
    <n v="289.52999999999997"/>
    <n v="6"/>
    <x v="0"/>
    <n v="2594.42"/>
    <n v="3081.04"/>
    <s v="Returning"/>
    <x v="15"/>
    <x v="1"/>
    <x v="1"/>
    <x v="7"/>
  </r>
  <r>
    <n v="1085"/>
    <x v="201"/>
    <x v="1"/>
    <x v="3"/>
    <n v="7813.12"/>
    <n v="8"/>
    <x v="1"/>
    <n v="3048.48"/>
    <n v="3198.54"/>
    <s v="Returning"/>
    <x v="21"/>
    <x v="1"/>
    <x v="0"/>
    <x v="16"/>
  </r>
  <r>
    <n v="1078"/>
    <x v="315"/>
    <x v="2"/>
    <x v="2"/>
    <n v="6136"/>
    <n v="29"/>
    <x v="3"/>
    <n v="3177.81"/>
    <n v="3222.65"/>
    <s v="Returning"/>
    <x v="4"/>
    <x v="2"/>
    <x v="1"/>
    <x v="10"/>
  </r>
  <r>
    <n v="1073"/>
    <x v="10"/>
    <x v="1"/>
    <x v="2"/>
    <n v="7026.43"/>
    <n v="48"/>
    <x v="2"/>
    <n v="2658.9"/>
    <n v="2838.27"/>
    <s v="New"/>
    <x v="26"/>
    <x v="2"/>
    <x v="0"/>
    <x v="2"/>
  </r>
  <r>
    <n v="1001"/>
    <x v="232"/>
    <x v="0"/>
    <x v="1"/>
    <n v="8397.73"/>
    <n v="33"/>
    <x v="0"/>
    <n v="2933.54"/>
    <n v="3307.75"/>
    <s v="Returning"/>
    <x v="30"/>
    <x v="1"/>
    <x v="1"/>
    <x v="1"/>
  </r>
  <r>
    <n v="1051"/>
    <x v="227"/>
    <x v="0"/>
    <x v="1"/>
    <n v="8047.83"/>
    <n v="3"/>
    <x v="0"/>
    <n v="3434.75"/>
    <n v="3659.42"/>
    <s v="New"/>
    <x v="28"/>
    <x v="0"/>
    <x v="0"/>
    <x v="1"/>
  </r>
  <r>
    <n v="1045"/>
    <x v="267"/>
    <x v="2"/>
    <x v="2"/>
    <n v="9613.11"/>
    <n v="35"/>
    <x v="0"/>
    <n v="3777.94"/>
    <n v="4188.66"/>
    <s v="New"/>
    <x v="22"/>
    <x v="1"/>
    <x v="0"/>
    <x v="10"/>
  </r>
  <r>
    <n v="1077"/>
    <x v="279"/>
    <x v="4"/>
    <x v="1"/>
    <n v="5405.76"/>
    <n v="5"/>
    <x v="3"/>
    <n v="3650.89"/>
    <n v="3930.06"/>
    <s v="New"/>
    <x v="22"/>
    <x v="1"/>
    <x v="0"/>
    <x v="17"/>
  </r>
  <r>
    <n v="1004"/>
    <x v="326"/>
    <x v="3"/>
    <x v="2"/>
    <n v="4936.1099999999997"/>
    <n v="27"/>
    <x v="2"/>
    <n v="4354.6000000000004"/>
    <n v="4820.2"/>
    <s v="New"/>
    <x v="6"/>
    <x v="2"/>
    <x v="1"/>
    <x v="6"/>
  </r>
  <r>
    <n v="1062"/>
    <x v="328"/>
    <x v="1"/>
    <x v="2"/>
    <n v="4078.68"/>
    <n v="44"/>
    <x v="3"/>
    <n v="987.74"/>
    <n v="1462.19"/>
    <s v="New"/>
    <x v="19"/>
    <x v="1"/>
    <x v="0"/>
    <x v="2"/>
  </r>
  <r>
    <n v="1065"/>
    <x v="243"/>
    <x v="0"/>
    <x v="2"/>
    <n v="1621.54"/>
    <n v="12"/>
    <x v="3"/>
    <n v="2035.68"/>
    <n v="2079.64"/>
    <s v="Returning"/>
    <x v="14"/>
    <x v="0"/>
    <x v="0"/>
    <x v="3"/>
  </r>
  <r>
    <n v="1032"/>
    <x v="288"/>
    <x v="4"/>
    <x v="0"/>
    <n v="5768.81"/>
    <n v="20"/>
    <x v="3"/>
    <n v="4741.59"/>
    <n v="4975.2299999999996"/>
    <s v="New"/>
    <x v="0"/>
    <x v="2"/>
    <x v="0"/>
    <x v="15"/>
  </r>
  <r>
    <n v="1034"/>
    <x v="88"/>
    <x v="2"/>
    <x v="1"/>
    <n v="2842.42"/>
    <n v="45"/>
    <x v="1"/>
    <n v="2013.12"/>
    <n v="2321.87"/>
    <s v="New"/>
    <x v="13"/>
    <x v="1"/>
    <x v="1"/>
    <x v="5"/>
  </r>
  <r>
    <n v="1092"/>
    <x v="116"/>
    <x v="0"/>
    <x v="3"/>
    <n v="9220.94"/>
    <n v="20"/>
    <x v="1"/>
    <n v="668.11"/>
    <n v="803.49"/>
    <s v="New"/>
    <x v="5"/>
    <x v="1"/>
    <x v="0"/>
    <x v="12"/>
  </r>
  <r>
    <n v="1095"/>
    <x v="329"/>
    <x v="2"/>
    <x v="3"/>
    <n v="5873.59"/>
    <n v="9"/>
    <x v="1"/>
    <n v="2650.95"/>
    <n v="2860.4199999999901"/>
    <s v="New"/>
    <x v="7"/>
    <x v="0"/>
    <x v="1"/>
    <x v="4"/>
  </r>
  <r>
    <n v="1072"/>
    <x v="117"/>
    <x v="1"/>
    <x v="1"/>
    <n v="5969.12"/>
    <n v="39"/>
    <x v="2"/>
    <n v="591.98"/>
    <n v="934.04"/>
    <s v="New"/>
    <x v="16"/>
    <x v="1"/>
    <x v="1"/>
    <x v="13"/>
  </r>
  <r>
    <n v="1039"/>
    <x v="203"/>
    <x v="3"/>
    <x v="2"/>
    <n v="3613.75"/>
    <n v="4"/>
    <x v="3"/>
    <n v="1054.1199999999999"/>
    <n v="1175.21999999999"/>
    <s v="Returning"/>
    <x v="7"/>
    <x v="1"/>
    <x v="1"/>
    <x v="6"/>
  </r>
  <r>
    <n v="1026"/>
    <x v="324"/>
    <x v="0"/>
    <x v="3"/>
    <n v="614.69000000000005"/>
    <n v="19"/>
    <x v="3"/>
    <n v="4991.68"/>
    <n v="5296.65"/>
    <s v="New"/>
    <x v="7"/>
    <x v="1"/>
    <x v="0"/>
    <x v="12"/>
  </r>
  <r>
    <n v="1034"/>
    <x v="243"/>
    <x v="0"/>
    <x v="3"/>
    <n v="414.26"/>
    <n v="38"/>
    <x v="1"/>
    <n v="2729.75"/>
    <n v="3081.5"/>
    <s v="New"/>
    <x v="30"/>
    <x v="1"/>
    <x v="0"/>
    <x v="12"/>
  </r>
  <r>
    <n v="1054"/>
    <x v="330"/>
    <x v="1"/>
    <x v="1"/>
    <n v="4291.0200000000004"/>
    <n v="27"/>
    <x v="3"/>
    <n v="1456.09"/>
    <n v="1510.4299999999901"/>
    <s v="Returning"/>
    <x v="22"/>
    <x v="0"/>
    <x v="1"/>
    <x v="13"/>
  </r>
  <r>
    <n v="1003"/>
    <x v="331"/>
    <x v="4"/>
    <x v="3"/>
    <n v="937.2"/>
    <n v="45"/>
    <x v="3"/>
    <n v="4974.1400000000003"/>
    <n v="5227.93"/>
    <s v="New"/>
    <x v="5"/>
    <x v="1"/>
    <x v="0"/>
    <x v="18"/>
  </r>
  <r>
    <n v="1050"/>
    <x v="272"/>
    <x v="3"/>
    <x v="2"/>
    <n v="6107.78"/>
    <n v="43"/>
    <x v="0"/>
    <n v="4834.47"/>
    <n v="4973.38"/>
    <s v="Returning"/>
    <x v="21"/>
    <x v="1"/>
    <x v="0"/>
    <x v="6"/>
  </r>
  <r>
    <n v="1012"/>
    <x v="89"/>
    <x v="0"/>
    <x v="1"/>
    <n v="8821.6299999999992"/>
    <n v="13"/>
    <x v="3"/>
    <n v="2231.66"/>
    <n v="2596.6099999999901"/>
    <s v="Returning"/>
    <x v="0"/>
    <x v="1"/>
    <x v="1"/>
    <x v="1"/>
  </r>
  <r>
    <n v="1065"/>
    <x v="253"/>
    <x v="3"/>
    <x v="2"/>
    <n v="8840.86"/>
    <n v="13"/>
    <x v="0"/>
    <n v="1339"/>
    <n v="1441.88"/>
    <s v="Returning"/>
    <x v="10"/>
    <x v="2"/>
    <x v="1"/>
    <x v="6"/>
  </r>
  <r>
    <n v="1054"/>
    <x v="332"/>
    <x v="0"/>
    <x v="3"/>
    <n v="6624.55"/>
    <n v="22"/>
    <x v="3"/>
    <n v="4200.08"/>
    <n v="4647.28"/>
    <s v="Returning"/>
    <x v="1"/>
    <x v="0"/>
    <x v="0"/>
    <x v="12"/>
  </r>
  <r>
    <n v="1005"/>
    <x v="94"/>
    <x v="3"/>
    <x v="3"/>
    <n v="2191.1999999999998"/>
    <n v="28"/>
    <x v="2"/>
    <n v="3592.32"/>
    <n v="3813.48"/>
    <s v="New"/>
    <x v="17"/>
    <x v="2"/>
    <x v="1"/>
    <x v="14"/>
  </r>
  <r>
    <n v="1094"/>
    <x v="248"/>
    <x v="2"/>
    <x v="2"/>
    <n v="8643.67"/>
    <n v="47"/>
    <x v="1"/>
    <n v="3450.36"/>
    <n v="3557.38"/>
    <s v="New"/>
    <x v="2"/>
    <x v="2"/>
    <x v="0"/>
    <x v="10"/>
  </r>
  <r>
    <n v="1094"/>
    <x v="120"/>
    <x v="0"/>
    <x v="0"/>
    <n v="8872.33"/>
    <n v="45"/>
    <x v="0"/>
    <n v="4470.91"/>
    <n v="4695.54"/>
    <s v="Returning"/>
    <x v="18"/>
    <x v="0"/>
    <x v="1"/>
    <x v="0"/>
  </r>
  <r>
    <n v="1057"/>
    <x v="115"/>
    <x v="3"/>
    <x v="3"/>
    <n v="2046.87"/>
    <n v="22"/>
    <x v="1"/>
    <n v="3462.61"/>
    <n v="3672.89"/>
    <s v="Returning"/>
    <x v="29"/>
    <x v="2"/>
    <x v="0"/>
    <x v="14"/>
  </r>
  <r>
    <n v="1017"/>
    <x v="195"/>
    <x v="4"/>
    <x v="0"/>
    <n v="7400.52"/>
    <n v="43"/>
    <x v="0"/>
    <n v="1454.8"/>
    <n v="1674.97"/>
    <s v="New"/>
    <x v="21"/>
    <x v="2"/>
    <x v="0"/>
    <x v="15"/>
  </r>
  <r>
    <n v="1047"/>
    <x v="312"/>
    <x v="2"/>
    <x v="3"/>
    <n v="2936.54"/>
    <n v="19"/>
    <x v="0"/>
    <n v="3484.62"/>
    <n v="3781.5499999999902"/>
    <s v="Returning"/>
    <x v="5"/>
    <x v="2"/>
    <x v="1"/>
    <x v="4"/>
  </r>
  <r>
    <n v="1023"/>
    <x v="80"/>
    <x v="2"/>
    <x v="0"/>
    <n v="8046.14"/>
    <n v="8"/>
    <x v="0"/>
    <n v="1563.78"/>
    <n v="1829.1599999999901"/>
    <s v="Returning"/>
    <x v="25"/>
    <x v="0"/>
    <x v="0"/>
    <x v="19"/>
  </r>
  <r>
    <n v="1079"/>
    <x v="3"/>
    <x v="4"/>
    <x v="0"/>
    <n v="9972.66"/>
    <n v="8"/>
    <x v="2"/>
    <n v="3808.23"/>
    <n v="3891.62"/>
    <s v="Returning"/>
    <x v="16"/>
    <x v="1"/>
    <x v="0"/>
    <x v="15"/>
  </r>
  <r>
    <n v="1085"/>
    <x v="283"/>
    <x v="3"/>
    <x v="0"/>
    <n v="397.26"/>
    <n v="42"/>
    <x v="3"/>
    <n v="3117.75"/>
    <n v="3159.88"/>
    <s v="New"/>
    <x v="14"/>
    <x v="0"/>
    <x v="1"/>
    <x v="7"/>
  </r>
  <r>
    <n v="1014"/>
    <x v="132"/>
    <x v="1"/>
    <x v="2"/>
    <n v="8983.92"/>
    <n v="26"/>
    <x v="0"/>
    <n v="433.19"/>
    <n v="800.6"/>
    <s v="Returning"/>
    <x v="2"/>
    <x v="0"/>
    <x v="0"/>
    <x v="2"/>
  </r>
  <r>
    <n v="1066"/>
    <x v="231"/>
    <x v="4"/>
    <x v="0"/>
    <n v="6264.04"/>
    <n v="48"/>
    <x v="2"/>
    <n v="2588.54"/>
    <n v="2872.8"/>
    <s v="New"/>
    <x v="22"/>
    <x v="0"/>
    <x v="0"/>
    <x v="15"/>
  </r>
  <r>
    <n v="1075"/>
    <x v="196"/>
    <x v="3"/>
    <x v="0"/>
    <n v="9736.49"/>
    <n v="26"/>
    <x v="0"/>
    <n v="1749.34"/>
    <n v="1935.25"/>
    <s v="New"/>
    <x v="6"/>
    <x v="2"/>
    <x v="0"/>
    <x v="7"/>
  </r>
  <r>
    <n v="1051"/>
    <x v="78"/>
    <x v="4"/>
    <x v="0"/>
    <n v="4703.59"/>
    <n v="23"/>
    <x v="3"/>
    <n v="1676.42"/>
    <n v="2082.52"/>
    <s v="New"/>
    <x v="25"/>
    <x v="1"/>
    <x v="1"/>
    <x v="15"/>
  </r>
  <r>
    <n v="1038"/>
    <x v="159"/>
    <x v="4"/>
    <x v="3"/>
    <n v="8489.14"/>
    <n v="43"/>
    <x v="0"/>
    <n v="3031.17"/>
    <n v="3231.32"/>
    <s v="Returning"/>
    <x v="20"/>
    <x v="0"/>
    <x v="1"/>
    <x v="18"/>
  </r>
  <r>
    <n v="1064"/>
    <x v="167"/>
    <x v="0"/>
    <x v="0"/>
    <n v="717.7"/>
    <n v="13"/>
    <x v="2"/>
    <n v="1645.51"/>
    <n v="2045.53"/>
    <s v="Returning"/>
    <x v="24"/>
    <x v="0"/>
    <x v="1"/>
    <x v="0"/>
  </r>
  <r>
    <n v="1098"/>
    <x v="176"/>
    <x v="3"/>
    <x v="3"/>
    <n v="3419.26"/>
    <n v="28"/>
    <x v="3"/>
    <n v="3895.62"/>
    <n v="4055.44"/>
    <s v="New"/>
    <x v="21"/>
    <x v="1"/>
    <x v="1"/>
    <x v="14"/>
  </r>
  <r>
    <n v="1038"/>
    <x v="288"/>
    <x v="1"/>
    <x v="0"/>
    <n v="763.46"/>
    <n v="9"/>
    <x v="2"/>
    <n v="400.42"/>
    <n v="446.11"/>
    <s v="New"/>
    <x v="30"/>
    <x v="1"/>
    <x v="1"/>
    <x v="11"/>
  </r>
  <r>
    <n v="1050"/>
    <x v="249"/>
    <x v="0"/>
    <x v="0"/>
    <n v="9755.9"/>
    <n v="20"/>
    <x v="3"/>
    <n v="3318.92"/>
    <n v="3785.91"/>
    <s v="New"/>
    <x v="19"/>
    <x v="1"/>
    <x v="0"/>
    <x v="0"/>
  </r>
  <r>
    <n v="1098"/>
    <x v="333"/>
    <x v="4"/>
    <x v="2"/>
    <n v="8188.04"/>
    <n v="19"/>
    <x v="3"/>
    <n v="4055.51"/>
    <n v="4258.84"/>
    <s v="Returning"/>
    <x v="21"/>
    <x v="2"/>
    <x v="0"/>
    <x v="9"/>
  </r>
  <r>
    <n v="1082"/>
    <x v="230"/>
    <x v="4"/>
    <x v="3"/>
    <n v="8540.2199999999993"/>
    <n v="48"/>
    <x v="1"/>
    <n v="3380.52"/>
    <n v="3778.94"/>
    <s v="Returning"/>
    <x v="23"/>
    <x v="1"/>
    <x v="0"/>
    <x v="18"/>
  </r>
  <r>
    <n v="1030"/>
    <x v="288"/>
    <x v="4"/>
    <x v="0"/>
    <n v="9385.86"/>
    <n v="39"/>
    <x v="1"/>
    <n v="2511.2800000000002"/>
    <n v="2658.06"/>
    <s v="New"/>
    <x v="27"/>
    <x v="2"/>
    <x v="1"/>
    <x v="15"/>
  </r>
  <r>
    <n v="1079"/>
    <x v="17"/>
    <x v="3"/>
    <x v="3"/>
    <n v="942.52"/>
    <n v="12"/>
    <x v="1"/>
    <n v="4754.0200000000004"/>
    <n v="5080.74"/>
    <s v="New"/>
    <x v="2"/>
    <x v="0"/>
    <x v="0"/>
    <x v="14"/>
  </r>
  <r>
    <n v="1091"/>
    <x v="279"/>
    <x v="3"/>
    <x v="3"/>
    <n v="3917.42"/>
    <n v="15"/>
    <x v="3"/>
    <n v="1534.7"/>
    <n v="1972.62"/>
    <s v="Returning"/>
    <x v="18"/>
    <x v="2"/>
    <x v="1"/>
    <x v="14"/>
  </r>
  <r>
    <n v="1051"/>
    <x v="10"/>
    <x v="0"/>
    <x v="1"/>
    <n v="803.25"/>
    <n v="31"/>
    <x v="0"/>
    <n v="144.88"/>
    <n v="175.29"/>
    <s v="New"/>
    <x v="17"/>
    <x v="1"/>
    <x v="0"/>
    <x v="1"/>
  </r>
  <r>
    <n v="1063"/>
    <x v="293"/>
    <x v="1"/>
    <x v="2"/>
    <n v="2186.85"/>
    <n v="14"/>
    <x v="2"/>
    <n v="2188.35"/>
    <n v="2605.3599999999901"/>
    <s v="Returning"/>
    <x v="2"/>
    <x v="2"/>
    <x v="1"/>
    <x v="2"/>
  </r>
  <r>
    <n v="1098"/>
    <x v="200"/>
    <x v="0"/>
    <x v="2"/>
    <n v="2370.7199999999998"/>
    <n v="11"/>
    <x v="2"/>
    <n v="213.41"/>
    <n v="503.36"/>
    <s v="Returning"/>
    <x v="29"/>
    <x v="1"/>
    <x v="0"/>
    <x v="3"/>
  </r>
  <r>
    <n v="1052"/>
    <x v="25"/>
    <x v="2"/>
    <x v="2"/>
    <n v="4744.16"/>
    <n v="26"/>
    <x v="2"/>
    <n v="4771.99"/>
    <n v="5079.6499999999996"/>
    <s v="New"/>
    <x v="12"/>
    <x v="2"/>
    <x v="0"/>
    <x v="10"/>
  </r>
  <r>
    <n v="1038"/>
    <x v="196"/>
    <x v="4"/>
    <x v="1"/>
    <n v="2758.77"/>
    <n v="42"/>
    <x v="1"/>
    <n v="1089.0899999999999"/>
    <n v="1355.44"/>
    <s v="New"/>
    <x v="18"/>
    <x v="0"/>
    <x v="1"/>
    <x v="17"/>
  </r>
  <r>
    <n v="1097"/>
    <x v="188"/>
    <x v="4"/>
    <x v="1"/>
    <n v="1099.68"/>
    <n v="27"/>
    <x v="3"/>
    <n v="3955.19"/>
    <n v="4393.68"/>
    <s v="Returning"/>
    <x v="14"/>
    <x v="2"/>
    <x v="0"/>
    <x v="17"/>
  </r>
  <r>
    <n v="1088"/>
    <x v="142"/>
    <x v="4"/>
    <x v="2"/>
    <n v="1758.16"/>
    <n v="11"/>
    <x v="1"/>
    <n v="3884.13"/>
    <n v="3915.41"/>
    <s v="Returning"/>
    <x v="3"/>
    <x v="0"/>
    <x v="0"/>
    <x v="9"/>
  </r>
  <r>
    <n v="1079"/>
    <x v="275"/>
    <x v="0"/>
    <x v="1"/>
    <n v="1558.03"/>
    <n v="38"/>
    <x v="0"/>
    <n v="1127.76"/>
    <n v="1265.6600000000001"/>
    <s v="Returning"/>
    <x v="16"/>
    <x v="1"/>
    <x v="1"/>
    <x v="1"/>
  </r>
  <r>
    <n v="1030"/>
    <x v="262"/>
    <x v="0"/>
    <x v="1"/>
    <n v="9733.4599999999991"/>
    <n v="34"/>
    <x v="3"/>
    <n v="3125.07"/>
    <n v="3564.19"/>
    <s v="Returning"/>
    <x v="0"/>
    <x v="0"/>
    <x v="0"/>
    <x v="1"/>
  </r>
  <r>
    <n v="1051"/>
    <x v="15"/>
    <x v="4"/>
    <x v="1"/>
    <n v="7617"/>
    <n v="43"/>
    <x v="2"/>
    <n v="287.99"/>
    <n v="666.64"/>
    <s v="Returning"/>
    <x v="11"/>
    <x v="1"/>
    <x v="0"/>
    <x v="17"/>
  </r>
  <r>
    <n v="1081"/>
    <x v="265"/>
    <x v="0"/>
    <x v="2"/>
    <n v="9680.84"/>
    <n v="19"/>
    <x v="1"/>
    <n v="2443.69"/>
    <n v="2462.34"/>
    <s v="New"/>
    <x v="17"/>
    <x v="1"/>
    <x v="1"/>
    <x v="3"/>
  </r>
  <r>
    <n v="1005"/>
    <x v="91"/>
    <x v="3"/>
    <x v="2"/>
    <n v="4453.43"/>
    <n v="6"/>
    <x v="1"/>
    <n v="122.5"/>
    <n v="385.83"/>
    <s v="Returning"/>
    <x v="15"/>
    <x v="0"/>
    <x v="1"/>
    <x v="6"/>
  </r>
  <r>
    <n v="1029"/>
    <x v="159"/>
    <x v="3"/>
    <x v="2"/>
    <n v="2855.85"/>
    <n v="46"/>
    <x v="0"/>
    <n v="4609.66"/>
    <n v="4879.1499999999996"/>
    <s v="Returning"/>
    <x v="23"/>
    <x v="0"/>
    <x v="1"/>
    <x v="6"/>
  </r>
  <r>
    <n v="1004"/>
    <x v="109"/>
    <x v="0"/>
    <x v="1"/>
    <n v="8003.1"/>
    <n v="38"/>
    <x v="0"/>
    <n v="4881.63"/>
    <n v="5088.0600000000004"/>
    <s v="Returning"/>
    <x v="28"/>
    <x v="2"/>
    <x v="1"/>
    <x v="1"/>
  </r>
  <r>
    <n v="1010"/>
    <x v="210"/>
    <x v="4"/>
    <x v="2"/>
    <n v="3329.91"/>
    <n v="49"/>
    <x v="1"/>
    <n v="1150.3"/>
    <n v="1306.02"/>
    <s v="New"/>
    <x v="18"/>
    <x v="2"/>
    <x v="1"/>
    <x v="9"/>
  </r>
  <r>
    <n v="1056"/>
    <x v="241"/>
    <x v="0"/>
    <x v="1"/>
    <n v="3063.9"/>
    <n v="42"/>
    <x v="0"/>
    <n v="1080.1199999999999"/>
    <n v="1424.1699999999901"/>
    <s v="New"/>
    <x v="15"/>
    <x v="0"/>
    <x v="0"/>
    <x v="1"/>
  </r>
  <r>
    <n v="1017"/>
    <x v="85"/>
    <x v="0"/>
    <x v="0"/>
    <n v="2401.81"/>
    <n v="28"/>
    <x v="2"/>
    <n v="3780.91"/>
    <n v="3892.73"/>
    <s v="Returning"/>
    <x v="15"/>
    <x v="0"/>
    <x v="1"/>
    <x v="0"/>
  </r>
  <r>
    <n v="1074"/>
    <x v="248"/>
    <x v="0"/>
    <x v="1"/>
    <n v="1383.82"/>
    <n v="1"/>
    <x v="0"/>
    <n v="1304.23"/>
    <n v="1705.71"/>
    <s v="Returning"/>
    <x v="30"/>
    <x v="0"/>
    <x v="1"/>
    <x v="1"/>
  </r>
  <r>
    <n v="1017"/>
    <x v="294"/>
    <x v="2"/>
    <x v="3"/>
    <n v="2638.98"/>
    <n v="35"/>
    <x v="0"/>
    <n v="4480.63"/>
    <n v="4884.12"/>
    <s v="New"/>
    <x v="14"/>
    <x v="0"/>
    <x v="0"/>
    <x v="4"/>
  </r>
  <r>
    <n v="1084"/>
    <x v="270"/>
    <x v="3"/>
    <x v="2"/>
    <n v="3617.67"/>
    <n v="40"/>
    <x v="1"/>
    <n v="2890.95"/>
    <n v="3104.43"/>
    <s v="New"/>
    <x v="5"/>
    <x v="1"/>
    <x v="0"/>
    <x v="6"/>
  </r>
  <r>
    <n v="1088"/>
    <x v="250"/>
    <x v="1"/>
    <x v="2"/>
    <n v="6772.54"/>
    <n v="8"/>
    <x v="1"/>
    <n v="1786.35"/>
    <n v="1935.29"/>
    <s v="New"/>
    <x v="14"/>
    <x v="0"/>
    <x v="0"/>
    <x v="2"/>
  </r>
  <r>
    <n v="1069"/>
    <x v="126"/>
    <x v="1"/>
    <x v="3"/>
    <n v="719.39"/>
    <n v="47"/>
    <x v="3"/>
    <n v="4171.83"/>
    <n v="4320.93"/>
    <s v="New"/>
    <x v="17"/>
    <x v="0"/>
    <x v="0"/>
    <x v="16"/>
  </r>
  <r>
    <n v="1034"/>
    <x v="154"/>
    <x v="2"/>
    <x v="1"/>
    <n v="2184.02"/>
    <n v="7"/>
    <x v="3"/>
    <n v="2492.36"/>
    <n v="2738.68"/>
    <s v="Returning"/>
    <x v="1"/>
    <x v="0"/>
    <x v="0"/>
    <x v="5"/>
  </r>
  <r>
    <n v="1006"/>
    <x v="141"/>
    <x v="0"/>
    <x v="0"/>
    <n v="8109.33"/>
    <n v="11"/>
    <x v="1"/>
    <n v="4562.58"/>
    <n v="4925.17"/>
    <s v="New"/>
    <x v="10"/>
    <x v="0"/>
    <x v="1"/>
    <x v="0"/>
  </r>
  <r>
    <n v="1053"/>
    <x v="67"/>
    <x v="2"/>
    <x v="3"/>
    <n v="1554.53"/>
    <n v="39"/>
    <x v="0"/>
    <n v="4643.67"/>
    <n v="4829.5200000000004"/>
    <s v="Returning"/>
    <x v="22"/>
    <x v="1"/>
    <x v="0"/>
    <x v="4"/>
  </r>
  <r>
    <n v="1066"/>
    <x v="166"/>
    <x v="2"/>
    <x v="3"/>
    <n v="3492.19"/>
    <n v="4"/>
    <x v="0"/>
    <n v="868.83"/>
    <n v="1177.75"/>
    <s v="Returning"/>
    <x v="5"/>
    <x v="2"/>
    <x v="1"/>
    <x v="4"/>
  </r>
  <r>
    <n v="1077"/>
    <x v="318"/>
    <x v="4"/>
    <x v="1"/>
    <n v="8660.1200000000008"/>
    <n v="25"/>
    <x v="3"/>
    <n v="61.5"/>
    <n v="258.91999999999899"/>
    <s v="New"/>
    <x v="22"/>
    <x v="2"/>
    <x v="0"/>
    <x v="17"/>
  </r>
  <r>
    <n v="1043"/>
    <x v="111"/>
    <x v="3"/>
    <x v="2"/>
    <n v="1633.76"/>
    <n v="12"/>
    <x v="3"/>
    <n v="4920.46"/>
    <n v="5079.68"/>
    <s v="New"/>
    <x v="5"/>
    <x v="2"/>
    <x v="1"/>
    <x v="6"/>
  </r>
  <r>
    <n v="1075"/>
    <x v="219"/>
    <x v="1"/>
    <x v="1"/>
    <n v="919.09"/>
    <n v="26"/>
    <x v="3"/>
    <n v="4535.38"/>
    <n v="4557.5600000000004"/>
    <s v="New"/>
    <x v="11"/>
    <x v="2"/>
    <x v="0"/>
    <x v="13"/>
  </r>
  <r>
    <n v="1023"/>
    <x v="53"/>
    <x v="0"/>
    <x v="3"/>
    <n v="4896.93"/>
    <n v="38"/>
    <x v="2"/>
    <n v="324.45"/>
    <n v="336.37"/>
    <s v="New"/>
    <x v="24"/>
    <x v="2"/>
    <x v="1"/>
    <x v="12"/>
  </r>
  <r>
    <n v="1055"/>
    <x v="15"/>
    <x v="1"/>
    <x v="3"/>
    <n v="3093.95"/>
    <n v="46"/>
    <x v="2"/>
    <n v="4173.5200000000004"/>
    <n v="4294.8500000000004"/>
    <s v="Returning"/>
    <x v="21"/>
    <x v="1"/>
    <x v="1"/>
    <x v="16"/>
  </r>
  <r>
    <n v="1080"/>
    <x v="314"/>
    <x v="1"/>
    <x v="2"/>
    <n v="5677.74"/>
    <n v="12"/>
    <x v="3"/>
    <n v="2316.13"/>
    <n v="2525.27"/>
    <s v="Returning"/>
    <x v="7"/>
    <x v="2"/>
    <x v="1"/>
    <x v="2"/>
  </r>
  <r>
    <n v="1095"/>
    <x v="313"/>
    <x v="3"/>
    <x v="2"/>
    <n v="8057.67"/>
    <n v="43"/>
    <x v="0"/>
    <n v="1331.86"/>
    <n v="1758.98"/>
    <s v="Returning"/>
    <x v="10"/>
    <x v="1"/>
    <x v="1"/>
    <x v="6"/>
  </r>
  <r>
    <n v="1075"/>
    <x v="334"/>
    <x v="1"/>
    <x v="2"/>
    <n v="1457.77"/>
    <n v="37"/>
    <x v="3"/>
    <n v="4399.8"/>
    <n v="4801.0600000000004"/>
    <s v="New"/>
    <x v="9"/>
    <x v="1"/>
    <x v="1"/>
    <x v="2"/>
  </r>
  <r>
    <n v="1016"/>
    <x v="168"/>
    <x v="1"/>
    <x v="1"/>
    <n v="5848.92"/>
    <n v="46"/>
    <x v="2"/>
    <n v="1023.5"/>
    <n v="1164.4100000000001"/>
    <s v="Returning"/>
    <x v="24"/>
    <x v="2"/>
    <x v="1"/>
    <x v="13"/>
  </r>
  <r>
    <n v="1008"/>
    <x v="274"/>
    <x v="2"/>
    <x v="2"/>
    <n v="5104.54"/>
    <n v="24"/>
    <x v="0"/>
    <n v="4739.13"/>
    <n v="4868.95"/>
    <s v="New"/>
    <x v="6"/>
    <x v="2"/>
    <x v="1"/>
    <x v="10"/>
  </r>
  <r>
    <n v="1004"/>
    <x v="43"/>
    <x v="3"/>
    <x v="3"/>
    <n v="1526.38"/>
    <n v="16"/>
    <x v="2"/>
    <n v="1067.83"/>
    <n v="1189.22"/>
    <s v="Returning"/>
    <x v="16"/>
    <x v="2"/>
    <x v="1"/>
    <x v="14"/>
  </r>
  <r>
    <n v="1004"/>
    <x v="196"/>
    <x v="4"/>
    <x v="3"/>
    <n v="6277.59"/>
    <n v="13"/>
    <x v="0"/>
    <n v="3087.73"/>
    <n v="3263.96"/>
    <s v="New"/>
    <x v="19"/>
    <x v="0"/>
    <x v="1"/>
    <x v="18"/>
  </r>
  <r>
    <n v="1056"/>
    <x v="197"/>
    <x v="0"/>
    <x v="0"/>
    <n v="2809.04"/>
    <n v="25"/>
    <x v="2"/>
    <n v="1154.28"/>
    <n v="1408.4"/>
    <s v="Returning"/>
    <x v="12"/>
    <x v="1"/>
    <x v="1"/>
    <x v="0"/>
  </r>
  <r>
    <n v="1025"/>
    <x v="59"/>
    <x v="1"/>
    <x v="1"/>
    <n v="4929.5600000000004"/>
    <n v="4"/>
    <x v="0"/>
    <n v="2751.06"/>
    <n v="2976.0099999999902"/>
    <s v="Returning"/>
    <x v="24"/>
    <x v="2"/>
    <x v="0"/>
    <x v="13"/>
  </r>
  <r>
    <n v="1067"/>
    <x v="330"/>
    <x v="0"/>
    <x v="0"/>
    <n v="914.5"/>
    <n v="11"/>
    <x v="0"/>
    <n v="3435.68"/>
    <n v="3552.6299999999901"/>
    <s v="New"/>
    <x v="29"/>
    <x v="0"/>
    <x v="1"/>
    <x v="0"/>
  </r>
  <r>
    <n v="1096"/>
    <x v="247"/>
    <x v="4"/>
    <x v="3"/>
    <n v="4649.88"/>
    <n v="32"/>
    <x v="0"/>
    <n v="991.63"/>
    <n v="1065.55"/>
    <s v="Returning"/>
    <x v="20"/>
    <x v="1"/>
    <x v="1"/>
    <x v="18"/>
  </r>
  <r>
    <n v="1067"/>
    <x v="114"/>
    <x v="0"/>
    <x v="0"/>
    <n v="3133.99"/>
    <n v="49"/>
    <x v="0"/>
    <n v="2628.38"/>
    <n v="2644.54"/>
    <s v="Returning"/>
    <x v="1"/>
    <x v="0"/>
    <x v="0"/>
    <x v="0"/>
  </r>
  <r>
    <n v="1027"/>
    <x v="153"/>
    <x v="4"/>
    <x v="3"/>
    <n v="8241.57"/>
    <n v="7"/>
    <x v="1"/>
    <n v="2371.85"/>
    <n v="2457.29"/>
    <s v="New"/>
    <x v="21"/>
    <x v="0"/>
    <x v="1"/>
    <x v="18"/>
  </r>
  <r>
    <n v="1093"/>
    <x v="82"/>
    <x v="2"/>
    <x v="0"/>
    <n v="664.09"/>
    <n v="46"/>
    <x v="2"/>
    <n v="401.64"/>
    <n v="757.26"/>
    <s v="New"/>
    <x v="5"/>
    <x v="2"/>
    <x v="1"/>
    <x v="19"/>
  </r>
  <r>
    <n v="1032"/>
    <x v="143"/>
    <x v="1"/>
    <x v="2"/>
    <n v="4244.21"/>
    <n v="11"/>
    <x v="2"/>
    <n v="4100.62"/>
    <n v="4230"/>
    <s v="New"/>
    <x v="12"/>
    <x v="1"/>
    <x v="0"/>
    <x v="2"/>
  </r>
  <r>
    <n v="1050"/>
    <x v="335"/>
    <x v="4"/>
    <x v="0"/>
    <n v="4638.47"/>
    <n v="28"/>
    <x v="1"/>
    <n v="1711.63"/>
    <n v="1951.24"/>
    <s v="New"/>
    <x v="20"/>
    <x v="0"/>
    <x v="0"/>
    <x v="15"/>
  </r>
  <r>
    <n v="1061"/>
    <x v="127"/>
    <x v="0"/>
    <x v="2"/>
    <n v="7277.56"/>
    <n v="41"/>
    <x v="0"/>
    <n v="2894.18"/>
    <n v="3193.92"/>
    <s v="New"/>
    <x v="24"/>
    <x v="1"/>
    <x v="1"/>
    <x v="3"/>
  </r>
  <r>
    <n v="1051"/>
    <x v="231"/>
    <x v="1"/>
    <x v="2"/>
    <n v="5785.45"/>
    <n v="23"/>
    <x v="0"/>
    <n v="2598.1799999999998"/>
    <n v="3042.73"/>
    <s v="Returning"/>
    <x v="19"/>
    <x v="2"/>
    <x v="0"/>
    <x v="2"/>
  </r>
  <r>
    <n v="1019"/>
    <x v="291"/>
    <x v="2"/>
    <x v="1"/>
    <n v="6705.4"/>
    <n v="45"/>
    <x v="2"/>
    <n v="2590.64"/>
    <n v="3036.18"/>
    <s v="New"/>
    <x v="8"/>
    <x v="1"/>
    <x v="1"/>
    <x v="5"/>
  </r>
  <r>
    <n v="1021"/>
    <x v="260"/>
    <x v="1"/>
    <x v="2"/>
    <n v="7792.79"/>
    <n v="23"/>
    <x v="1"/>
    <n v="580.75"/>
    <n v="956.16"/>
    <s v="Returning"/>
    <x v="17"/>
    <x v="0"/>
    <x v="1"/>
    <x v="2"/>
  </r>
  <r>
    <n v="1005"/>
    <x v="197"/>
    <x v="4"/>
    <x v="2"/>
    <n v="8635.81"/>
    <n v="28"/>
    <x v="0"/>
    <n v="2146.2399999999998"/>
    <n v="2173.4699999999998"/>
    <s v="Returning"/>
    <x v="15"/>
    <x v="0"/>
    <x v="1"/>
    <x v="9"/>
  </r>
  <r>
    <n v="1082"/>
    <x v="34"/>
    <x v="2"/>
    <x v="0"/>
    <n v="3207.37"/>
    <n v="43"/>
    <x v="0"/>
    <n v="2289.2199999999998"/>
    <n v="2581"/>
    <s v="New"/>
    <x v="8"/>
    <x v="1"/>
    <x v="0"/>
    <x v="19"/>
  </r>
  <r>
    <n v="1092"/>
    <x v="241"/>
    <x v="0"/>
    <x v="3"/>
    <n v="5426.42"/>
    <n v="47"/>
    <x v="0"/>
    <n v="3681.53"/>
    <n v="4076.96"/>
    <s v="Returning"/>
    <x v="22"/>
    <x v="0"/>
    <x v="1"/>
    <x v="12"/>
  </r>
  <r>
    <n v="1042"/>
    <x v="322"/>
    <x v="2"/>
    <x v="1"/>
    <n v="8417.07"/>
    <n v="26"/>
    <x v="3"/>
    <n v="4208.09"/>
    <n v="4226.5600000000004"/>
    <s v="Returning"/>
    <x v="12"/>
    <x v="0"/>
    <x v="1"/>
    <x v="5"/>
  </r>
  <r>
    <n v="1061"/>
    <x v="2"/>
    <x v="2"/>
    <x v="2"/>
    <n v="9895.57"/>
    <n v="25"/>
    <x v="1"/>
    <n v="2747.66"/>
    <n v="3027.0099999999902"/>
    <s v="New"/>
    <x v="10"/>
    <x v="0"/>
    <x v="0"/>
    <x v="10"/>
  </r>
  <r>
    <n v="1022"/>
    <x v="90"/>
    <x v="3"/>
    <x v="1"/>
    <n v="8906.24"/>
    <n v="29"/>
    <x v="0"/>
    <n v="479.58"/>
    <n v="909.88"/>
    <s v="Returning"/>
    <x v="9"/>
    <x v="2"/>
    <x v="1"/>
    <x v="8"/>
  </r>
  <r>
    <n v="1021"/>
    <x v="68"/>
    <x v="2"/>
    <x v="0"/>
    <n v="3777.53"/>
    <n v="19"/>
    <x v="3"/>
    <n v="1222.4000000000001"/>
    <n v="1464.71"/>
    <s v="New"/>
    <x v="11"/>
    <x v="2"/>
    <x v="1"/>
    <x v="19"/>
  </r>
  <r>
    <n v="1070"/>
    <x v="336"/>
    <x v="2"/>
    <x v="2"/>
    <n v="2032.15"/>
    <n v="33"/>
    <x v="1"/>
    <n v="866.42"/>
    <n v="878.43"/>
    <s v="New"/>
    <x v="0"/>
    <x v="0"/>
    <x v="1"/>
    <x v="10"/>
  </r>
  <r>
    <n v="1001"/>
    <x v="24"/>
    <x v="1"/>
    <x v="0"/>
    <n v="4944.99"/>
    <n v="36"/>
    <x v="0"/>
    <n v="666.84"/>
    <n v="682.24"/>
    <s v="New"/>
    <x v="28"/>
    <x v="1"/>
    <x v="1"/>
    <x v="11"/>
  </r>
  <r>
    <n v="1005"/>
    <x v="76"/>
    <x v="0"/>
    <x v="1"/>
    <n v="7442.25"/>
    <n v="14"/>
    <x v="2"/>
    <n v="1861.2"/>
    <n v="2075.35"/>
    <s v="Returning"/>
    <x v="15"/>
    <x v="2"/>
    <x v="1"/>
    <x v="1"/>
  </r>
  <r>
    <n v="1012"/>
    <x v="24"/>
    <x v="1"/>
    <x v="0"/>
    <n v="4976.43"/>
    <n v="14"/>
    <x v="3"/>
    <n v="1185.5"/>
    <n v="1271.45"/>
    <s v="Returning"/>
    <x v="21"/>
    <x v="1"/>
    <x v="1"/>
    <x v="11"/>
  </r>
  <r>
    <n v="1090"/>
    <x v="1"/>
    <x v="1"/>
    <x v="1"/>
    <n v="4883.49"/>
    <n v="35"/>
    <x v="3"/>
    <n v="1130.5999999999999"/>
    <n v="1466.1799999999901"/>
    <s v="Returning"/>
    <x v="9"/>
    <x v="0"/>
    <x v="0"/>
    <x v="13"/>
  </r>
  <r>
    <n v="1046"/>
    <x v="175"/>
    <x v="4"/>
    <x v="0"/>
    <n v="8398.48"/>
    <n v="30"/>
    <x v="0"/>
    <n v="320.73"/>
    <n v="678.04"/>
    <s v="Returning"/>
    <x v="4"/>
    <x v="0"/>
    <x v="1"/>
    <x v="15"/>
  </r>
  <r>
    <n v="1034"/>
    <x v="212"/>
    <x v="1"/>
    <x v="1"/>
    <n v="3677.9"/>
    <n v="28"/>
    <x v="0"/>
    <n v="137.47"/>
    <n v="234.63"/>
    <s v="New"/>
    <x v="29"/>
    <x v="1"/>
    <x v="1"/>
    <x v="13"/>
  </r>
  <r>
    <n v="1049"/>
    <x v="76"/>
    <x v="3"/>
    <x v="3"/>
    <n v="8611.9699999999993"/>
    <n v="17"/>
    <x v="3"/>
    <n v="558.70000000000005"/>
    <n v="1004.08"/>
    <s v="Returning"/>
    <x v="21"/>
    <x v="2"/>
    <x v="0"/>
    <x v="14"/>
  </r>
  <r>
    <n v="1078"/>
    <x v="328"/>
    <x v="3"/>
    <x v="0"/>
    <n v="4127.37"/>
    <n v="3"/>
    <x v="2"/>
    <n v="902.38"/>
    <n v="1128.9100000000001"/>
    <s v="New"/>
    <x v="30"/>
    <x v="1"/>
    <x v="1"/>
    <x v="7"/>
  </r>
  <r>
    <n v="1090"/>
    <x v="310"/>
    <x v="4"/>
    <x v="0"/>
    <n v="3349.51"/>
    <n v="16"/>
    <x v="2"/>
    <n v="2183.37"/>
    <n v="2263.3599999999901"/>
    <s v="Returning"/>
    <x v="11"/>
    <x v="1"/>
    <x v="1"/>
    <x v="15"/>
  </r>
  <r>
    <n v="1045"/>
    <x v="320"/>
    <x v="0"/>
    <x v="3"/>
    <n v="4594.5"/>
    <n v="46"/>
    <x v="1"/>
    <n v="2577.08"/>
    <n v="2961.56"/>
    <s v="Returning"/>
    <x v="15"/>
    <x v="0"/>
    <x v="0"/>
    <x v="12"/>
  </r>
  <r>
    <n v="1027"/>
    <x v="285"/>
    <x v="0"/>
    <x v="3"/>
    <n v="7648.22"/>
    <n v="30"/>
    <x v="0"/>
    <n v="745.93"/>
    <n v="1143.02"/>
    <s v="Returning"/>
    <x v="2"/>
    <x v="2"/>
    <x v="0"/>
    <x v="12"/>
  </r>
  <r>
    <n v="1073"/>
    <x v="152"/>
    <x v="1"/>
    <x v="0"/>
    <n v="1347.42"/>
    <n v="29"/>
    <x v="2"/>
    <n v="2152.6799999999998"/>
    <n v="2475.9299999999998"/>
    <s v="Returning"/>
    <x v="20"/>
    <x v="1"/>
    <x v="0"/>
    <x v="11"/>
  </r>
  <r>
    <n v="1026"/>
    <x v="158"/>
    <x v="1"/>
    <x v="3"/>
    <n v="2044.55"/>
    <n v="45"/>
    <x v="1"/>
    <n v="1741.66"/>
    <n v="2169.86"/>
    <s v="Returning"/>
    <x v="6"/>
    <x v="2"/>
    <x v="0"/>
    <x v="16"/>
  </r>
  <r>
    <n v="1047"/>
    <x v="217"/>
    <x v="1"/>
    <x v="2"/>
    <n v="9519.2999999999993"/>
    <n v="15"/>
    <x v="2"/>
    <n v="957.95"/>
    <n v="1329.26"/>
    <s v="New"/>
    <x v="5"/>
    <x v="0"/>
    <x v="0"/>
    <x v="2"/>
  </r>
  <r>
    <n v="1086"/>
    <x v="242"/>
    <x v="0"/>
    <x v="1"/>
    <n v="1837.37"/>
    <n v="46"/>
    <x v="0"/>
    <n v="83.86"/>
    <n v="526.14"/>
    <s v="Returning"/>
    <x v="1"/>
    <x v="2"/>
    <x v="0"/>
    <x v="1"/>
  </r>
  <r>
    <n v="1056"/>
    <x v="107"/>
    <x v="2"/>
    <x v="1"/>
    <n v="5720.5"/>
    <n v="25"/>
    <x v="1"/>
    <n v="2361.7399999999998"/>
    <n v="2584.35"/>
    <s v="Returning"/>
    <x v="2"/>
    <x v="0"/>
    <x v="0"/>
    <x v="5"/>
  </r>
  <r>
    <n v="1094"/>
    <x v="267"/>
    <x v="3"/>
    <x v="1"/>
    <n v="5835.21"/>
    <n v="38"/>
    <x v="1"/>
    <n v="3443.98"/>
    <n v="3820.3"/>
    <s v="Returning"/>
    <x v="30"/>
    <x v="2"/>
    <x v="1"/>
    <x v="8"/>
  </r>
  <r>
    <n v="1063"/>
    <x v="202"/>
    <x v="2"/>
    <x v="2"/>
    <n v="4947.28"/>
    <n v="42"/>
    <x v="1"/>
    <n v="1170.07"/>
    <n v="1669.94999999999"/>
    <s v="Returning"/>
    <x v="7"/>
    <x v="1"/>
    <x v="1"/>
    <x v="10"/>
  </r>
  <r>
    <n v="1048"/>
    <x v="267"/>
    <x v="2"/>
    <x v="3"/>
    <n v="6482.98"/>
    <n v="47"/>
    <x v="2"/>
    <n v="702.44"/>
    <n v="1067.6600000000001"/>
    <s v="New"/>
    <x v="19"/>
    <x v="0"/>
    <x v="1"/>
    <x v="4"/>
  </r>
  <r>
    <n v="1061"/>
    <x v="170"/>
    <x v="0"/>
    <x v="3"/>
    <n v="2375.2800000000002"/>
    <n v="38"/>
    <x v="0"/>
    <n v="4440.8599999999997"/>
    <n v="4506.8099999999904"/>
    <s v="Returning"/>
    <x v="19"/>
    <x v="1"/>
    <x v="0"/>
    <x v="12"/>
  </r>
  <r>
    <n v="1081"/>
    <x v="275"/>
    <x v="2"/>
    <x v="0"/>
    <n v="5571.36"/>
    <n v="23"/>
    <x v="1"/>
    <n v="1411.37"/>
    <n v="1675.35"/>
    <s v="New"/>
    <x v="5"/>
    <x v="0"/>
    <x v="1"/>
    <x v="19"/>
  </r>
  <r>
    <n v="1026"/>
    <x v="30"/>
    <x v="4"/>
    <x v="3"/>
    <n v="3784.52"/>
    <n v="25"/>
    <x v="3"/>
    <n v="1156.8800000000001"/>
    <n v="1454.68"/>
    <s v="Returning"/>
    <x v="18"/>
    <x v="2"/>
    <x v="0"/>
    <x v="18"/>
  </r>
  <r>
    <n v="1036"/>
    <x v="247"/>
    <x v="1"/>
    <x v="0"/>
    <n v="6650.51"/>
    <n v="42"/>
    <x v="0"/>
    <n v="4292.63"/>
    <n v="4387.99"/>
    <s v="New"/>
    <x v="17"/>
    <x v="2"/>
    <x v="1"/>
    <x v="11"/>
  </r>
  <r>
    <n v="1001"/>
    <x v="216"/>
    <x v="4"/>
    <x v="2"/>
    <n v="1498.11"/>
    <n v="7"/>
    <x v="3"/>
    <n v="4094.68"/>
    <n v="4576.5"/>
    <s v="New"/>
    <x v="23"/>
    <x v="0"/>
    <x v="1"/>
    <x v="9"/>
  </r>
  <r>
    <n v="1008"/>
    <x v="164"/>
    <x v="3"/>
    <x v="1"/>
    <n v="5751.69"/>
    <n v="22"/>
    <x v="3"/>
    <n v="2269.3200000000002"/>
    <n v="2365.35"/>
    <s v="New"/>
    <x v="21"/>
    <x v="0"/>
    <x v="1"/>
    <x v="8"/>
  </r>
  <r>
    <n v="1099"/>
    <x v="337"/>
    <x v="1"/>
    <x v="1"/>
    <n v="1934.18"/>
    <n v="17"/>
    <x v="1"/>
    <n v="2471.73"/>
    <n v="2568.73"/>
    <s v="New"/>
    <x v="8"/>
    <x v="0"/>
    <x v="1"/>
    <x v="13"/>
  </r>
  <r>
    <n v="1052"/>
    <x v="64"/>
    <x v="2"/>
    <x v="1"/>
    <n v="2858.57"/>
    <n v="18"/>
    <x v="1"/>
    <n v="1127.8599999999999"/>
    <n v="1586.29"/>
    <s v="New"/>
    <x v="14"/>
    <x v="2"/>
    <x v="0"/>
    <x v="5"/>
  </r>
  <r>
    <n v="1079"/>
    <x v="46"/>
    <x v="3"/>
    <x v="3"/>
    <n v="2265.23"/>
    <n v="49"/>
    <x v="2"/>
    <n v="437.59"/>
    <n v="675.54"/>
    <s v="Returning"/>
    <x v="15"/>
    <x v="0"/>
    <x v="0"/>
    <x v="14"/>
  </r>
  <r>
    <n v="1047"/>
    <x v="338"/>
    <x v="1"/>
    <x v="0"/>
    <n v="1910.09"/>
    <n v="41"/>
    <x v="2"/>
    <n v="2888.49"/>
    <n v="2929.45"/>
    <s v="New"/>
    <x v="18"/>
    <x v="0"/>
    <x v="1"/>
    <x v="11"/>
  </r>
  <r>
    <n v="1056"/>
    <x v="223"/>
    <x v="2"/>
    <x v="0"/>
    <n v="8274.5400000000009"/>
    <n v="10"/>
    <x v="2"/>
    <n v="536.80999999999995"/>
    <n v="839.92"/>
    <s v="Returning"/>
    <x v="25"/>
    <x v="1"/>
    <x v="0"/>
    <x v="19"/>
  </r>
  <r>
    <n v="1086"/>
    <x v="117"/>
    <x v="4"/>
    <x v="2"/>
    <n v="2928.5"/>
    <n v="10"/>
    <x v="0"/>
    <n v="2273.91"/>
    <n v="2578.7999999999902"/>
    <s v="New"/>
    <x v="6"/>
    <x v="0"/>
    <x v="0"/>
    <x v="9"/>
  </r>
  <r>
    <n v="1014"/>
    <x v="276"/>
    <x v="1"/>
    <x v="3"/>
    <n v="9278.5300000000007"/>
    <n v="7"/>
    <x v="2"/>
    <n v="4705.46"/>
    <n v="4747.07"/>
    <s v="New"/>
    <x v="29"/>
    <x v="1"/>
    <x v="1"/>
    <x v="16"/>
  </r>
  <r>
    <n v="1090"/>
    <x v="108"/>
    <x v="2"/>
    <x v="2"/>
    <n v="9702.27"/>
    <n v="48"/>
    <x v="3"/>
    <n v="4766.53"/>
    <n v="5253.07"/>
    <s v="Returning"/>
    <x v="30"/>
    <x v="1"/>
    <x v="0"/>
    <x v="10"/>
  </r>
  <r>
    <n v="1028"/>
    <x v="252"/>
    <x v="4"/>
    <x v="0"/>
    <n v="5755.48"/>
    <n v="38"/>
    <x v="2"/>
    <n v="1234.69"/>
    <n v="1511.26"/>
    <s v="New"/>
    <x v="15"/>
    <x v="1"/>
    <x v="0"/>
    <x v="15"/>
  </r>
  <r>
    <n v="1087"/>
    <x v="47"/>
    <x v="3"/>
    <x v="0"/>
    <n v="1515.71"/>
    <n v="27"/>
    <x v="1"/>
    <n v="3139.36"/>
    <n v="3423.66"/>
    <s v="New"/>
    <x v="13"/>
    <x v="2"/>
    <x v="0"/>
    <x v="7"/>
  </r>
  <r>
    <n v="1078"/>
    <x v="218"/>
    <x v="3"/>
    <x v="1"/>
    <n v="3808.03"/>
    <n v="33"/>
    <x v="2"/>
    <n v="2396.6799999999998"/>
    <n v="2661.54"/>
    <s v="New"/>
    <x v="13"/>
    <x v="1"/>
    <x v="0"/>
    <x v="8"/>
  </r>
  <r>
    <n v="1088"/>
    <x v="187"/>
    <x v="3"/>
    <x v="3"/>
    <n v="7997.55"/>
    <n v="1"/>
    <x v="0"/>
    <n v="4384.6400000000003"/>
    <n v="4693.8999999999996"/>
    <s v="New"/>
    <x v="6"/>
    <x v="0"/>
    <x v="1"/>
    <x v="14"/>
  </r>
  <r>
    <n v="1002"/>
    <x v="16"/>
    <x v="3"/>
    <x v="0"/>
    <n v="3737.17"/>
    <n v="44"/>
    <x v="0"/>
    <n v="1393.58"/>
    <n v="1533.09"/>
    <s v="Returning"/>
    <x v="19"/>
    <x v="2"/>
    <x v="1"/>
    <x v="7"/>
  </r>
  <r>
    <n v="1026"/>
    <x v="299"/>
    <x v="0"/>
    <x v="1"/>
    <n v="961.47"/>
    <n v="34"/>
    <x v="3"/>
    <n v="68.33"/>
    <n v="219.07999999999899"/>
    <s v="New"/>
    <x v="3"/>
    <x v="2"/>
    <x v="0"/>
    <x v="1"/>
  </r>
  <r>
    <n v="1014"/>
    <x v="317"/>
    <x v="1"/>
    <x v="3"/>
    <n v="5612.17"/>
    <n v="4"/>
    <x v="0"/>
    <n v="854.68"/>
    <n v="1115.24"/>
    <s v="New"/>
    <x v="19"/>
    <x v="2"/>
    <x v="1"/>
    <x v="16"/>
  </r>
  <r>
    <n v="1059"/>
    <x v="258"/>
    <x v="1"/>
    <x v="2"/>
    <n v="8466.7000000000007"/>
    <n v="17"/>
    <x v="2"/>
    <n v="1780.14"/>
    <n v="2185.42"/>
    <s v="Returning"/>
    <x v="25"/>
    <x v="2"/>
    <x v="1"/>
    <x v="2"/>
  </r>
  <r>
    <n v="1056"/>
    <x v="92"/>
    <x v="0"/>
    <x v="3"/>
    <n v="7979.67"/>
    <n v="4"/>
    <x v="1"/>
    <n v="1612.82"/>
    <n v="1647.25"/>
    <s v="Returning"/>
    <x v="14"/>
    <x v="2"/>
    <x v="1"/>
    <x v="12"/>
  </r>
  <r>
    <n v="1007"/>
    <x v="229"/>
    <x v="2"/>
    <x v="3"/>
    <n v="1833.72"/>
    <n v="43"/>
    <x v="0"/>
    <n v="3967.25"/>
    <n v="4272.92"/>
    <s v="New"/>
    <x v="29"/>
    <x v="2"/>
    <x v="0"/>
    <x v="4"/>
  </r>
  <r>
    <n v="1003"/>
    <x v="198"/>
    <x v="2"/>
    <x v="0"/>
    <n v="6760.37"/>
    <n v="26"/>
    <x v="3"/>
    <n v="3418.78"/>
    <n v="3824.1"/>
    <s v="New"/>
    <x v="27"/>
    <x v="2"/>
    <x v="0"/>
    <x v="19"/>
  </r>
  <r>
    <n v="1023"/>
    <x v="166"/>
    <x v="3"/>
    <x v="0"/>
    <n v="2282.9899999999998"/>
    <n v="4"/>
    <x v="2"/>
    <n v="1532.8"/>
    <n v="1619.69"/>
    <s v="Returning"/>
    <x v="8"/>
    <x v="1"/>
    <x v="1"/>
    <x v="7"/>
  </r>
  <r>
    <n v="1018"/>
    <x v="30"/>
    <x v="4"/>
    <x v="3"/>
    <n v="2260.25"/>
    <n v="1"/>
    <x v="3"/>
    <n v="2315.83"/>
    <n v="2333.19"/>
    <s v="New"/>
    <x v="30"/>
    <x v="0"/>
    <x v="1"/>
    <x v="18"/>
  </r>
  <r>
    <n v="1038"/>
    <x v="86"/>
    <x v="2"/>
    <x v="0"/>
    <n v="8753.31"/>
    <n v="7"/>
    <x v="0"/>
    <n v="523.02"/>
    <n v="686.25"/>
    <s v="Returning"/>
    <x v="14"/>
    <x v="0"/>
    <x v="0"/>
    <x v="19"/>
  </r>
  <r>
    <n v="1099"/>
    <x v="329"/>
    <x v="4"/>
    <x v="0"/>
    <n v="2571.7199999999998"/>
    <n v="30"/>
    <x v="0"/>
    <n v="4495.82"/>
    <n v="4794.0099999999902"/>
    <s v="New"/>
    <x v="13"/>
    <x v="1"/>
    <x v="1"/>
    <x v="15"/>
  </r>
  <r>
    <n v="1015"/>
    <x v="339"/>
    <x v="1"/>
    <x v="0"/>
    <n v="2706.15"/>
    <n v="9"/>
    <x v="3"/>
    <n v="4680.3500000000004"/>
    <n v="4758.1099999999997"/>
    <s v="Returning"/>
    <x v="8"/>
    <x v="1"/>
    <x v="0"/>
    <x v="11"/>
  </r>
  <r>
    <n v="1064"/>
    <x v="111"/>
    <x v="4"/>
    <x v="1"/>
    <n v="106.47"/>
    <n v="35"/>
    <x v="2"/>
    <n v="4900.03"/>
    <n v="5118.83"/>
    <s v="Returning"/>
    <x v="17"/>
    <x v="2"/>
    <x v="1"/>
    <x v="17"/>
  </r>
  <r>
    <n v="1089"/>
    <x v="136"/>
    <x v="1"/>
    <x v="1"/>
    <n v="8719.6200000000008"/>
    <n v="8"/>
    <x v="0"/>
    <n v="4349.34"/>
    <n v="4629.9799999999996"/>
    <s v="Returning"/>
    <x v="30"/>
    <x v="2"/>
    <x v="0"/>
    <x v="13"/>
  </r>
  <r>
    <n v="1028"/>
    <x v="82"/>
    <x v="0"/>
    <x v="3"/>
    <n v="7946.69"/>
    <n v="24"/>
    <x v="1"/>
    <n v="911.11"/>
    <n v="1214.56"/>
    <s v="New"/>
    <x v="20"/>
    <x v="1"/>
    <x v="0"/>
    <x v="12"/>
  </r>
  <r>
    <n v="1074"/>
    <x v="22"/>
    <x v="0"/>
    <x v="0"/>
    <n v="6310.56"/>
    <n v="19"/>
    <x v="0"/>
    <n v="278.67"/>
    <n v="423.13"/>
    <s v="New"/>
    <x v="19"/>
    <x v="2"/>
    <x v="0"/>
    <x v="0"/>
  </r>
  <r>
    <n v="1039"/>
    <x v="97"/>
    <x v="3"/>
    <x v="1"/>
    <n v="7527.63"/>
    <n v="36"/>
    <x v="2"/>
    <n v="2919"/>
    <n v="3125.01"/>
    <s v="New"/>
    <x v="19"/>
    <x v="0"/>
    <x v="0"/>
    <x v="8"/>
  </r>
  <r>
    <n v="1057"/>
    <x v="130"/>
    <x v="2"/>
    <x v="3"/>
    <n v="1605.28"/>
    <n v="43"/>
    <x v="0"/>
    <n v="4567.3900000000003"/>
    <n v="4958.78"/>
    <s v="New"/>
    <x v="14"/>
    <x v="0"/>
    <x v="1"/>
    <x v="4"/>
  </r>
  <r>
    <n v="1017"/>
    <x v="332"/>
    <x v="3"/>
    <x v="0"/>
    <n v="4637.3999999999996"/>
    <n v="27"/>
    <x v="3"/>
    <n v="927.89"/>
    <n v="1399.09"/>
    <s v="Returning"/>
    <x v="29"/>
    <x v="2"/>
    <x v="0"/>
    <x v="7"/>
  </r>
  <r>
    <n v="1086"/>
    <x v="62"/>
    <x v="1"/>
    <x v="2"/>
    <n v="3577.07"/>
    <n v="32"/>
    <x v="0"/>
    <n v="84.86"/>
    <n v="517.17999999999995"/>
    <s v="Returning"/>
    <x v="2"/>
    <x v="2"/>
    <x v="1"/>
    <x v="2"/>
  </r>
  <r>
    <n v="1090"/>
    <x v="21"/>
    <x v="3"/>
    <x v="0"/>
    <n v="1028.3900000000001"/>
    <n v="14"/>
    <x v="0"/>
    <n v="4037.21"/>
    <n v="4323.71"/>
    <s v="Returning"/>
    <x v="29"/>
    <x v="2"/>
    <x v="0"/>
    <x v="7"/>
  </r>
  <r>
    <n v="1044"/>
    <x v="36"/>
    <x v="4"/>
    <x v="0"/>
    <n v="4912.6899999999996"/>
    <n v="18"/>
    <x v="2"/>
    <n v="430.14"/>
    <n v="641.17999999999995"/>
    <s v="New"/>
    <x v="9"/>
    <x v="0"/>
    <x v="0"/>
    <x v="15"/>
  </r>
  <r>
    <n v="1025"/>
    <x v="174"/>
    <x v="1"/>
    <x v="1"/>
    <n v="9215.32"/>
    <n v="28"/>
    <x v="3"/>
    <n v="2097.84"/>
    <n v="2270.9899999999998"/>
    <s v="New"/>
    <x v="9"/>
    <x v="2"/>
    <x v="1"/>
    <x v="13"/>
  </r>
  <r>
    <n v="1017"/>
    <x v="54"/>
    <x v="0"/>
    <x v="3"/>
    <n v="496.59"/>
    <n v="29"/>
    <x v="2"/>
    <n v="3410.49"/>
    <n v="3481.72"/>
    <s v="New"/>
    <x v="19"/>
    <x v="1"/>
    <x v="1"/>
    <x v="12"/>
  </r>
  <r>
    <n v="1013"/>
    <x v="26"/>
    <x v="2"/>
    <x v="3"/>
    <n v="2985.46"/>
    <n v="16"/>
    <x v="0"/>
    <n v="1222.1500000000001"/>
    <n v="1284.3599999999999"/>
    <s v="Returning"/>
    <x v="21"/>
    <x v="2"/>
    <x v="1"/>
    <x v="4"/>
  </r>
  <r>
    <n v="1084"/>
    <x v="331"/>
    <x v="1"/>
    <x v="1"/>
    <n v="2154.66"/>
    <n v="35"/>
    <x v="1"/>
    <n v="465.61"/>
    <n v="812.91"/>
    <s v="New"/>
    <x v="28"/>
    <x v="1"/>
    <x v="0"/>
    <x v="13"/>
  </r>
  <r>
    <n v="1025"/>
    <x v="177"/>
    <x v="1"/>
    <x v="0"/>
    <n v="2457.65"/>
    <n v="47"/>
    <x v="0"/>
    <n v="3861.61"/>
    <n v="3998.91"/>
    <s v="New"/>
    <x v="26"/>
    <x v="2"/>
    <x v="0"/>
    <x v="11"/>
  </r>
  <r>
    <n v="1068"/>
    <x v="209"/>
    <x v="4"/>
    <x v="2"/>
    <n v="9093.5"/>
    <n v="31"/>
    <x v="2"/>
    <n v="3169.37"/>
    <n v="3304.15"/>
    <s v="Returning"/>
    <x v="26"/>
    <x v="2"/>
    <x v="1"/>
    <x v="9"/>
  </r>
  <r>
    <n v="1010"/>
    <x v="297"/>
    <x v="2"/>
    <x v="0"/>
    <n v="4733.88"/>
    <n v="4"/>
    <x v="1"/>
    <n v="4943.03"/>
    <n v="5442.15"/>
    <s v="Returning"/>
    <x v="12"/>
    <x v="0"/>
    <x v="0"/>
    <x v="19"/>
  </r>
  <r>
    <n v="1067"/>
    <x v="259"/>
    <x v="0"/>
    <x v="0"/>
    <n v="4716.3599999999997"/>
    <n v="37"/>
    <x v="2"/>
    <n v="1754.32"/>
    <n v="1856.3999999999901"/>
    <s v="New"/>
    <x v="5"/>
    <x v="1"/>
    <x v="1"/>
    <x v="0"/>
  </r>
  <r>
    <n v="1018"/>
    <x v="167"/>
    <x v="1"/>
    <x v="2"/>
    <n v="7629.7"/>
    <n v="17"/>
    <x v="2"/>
    <n v="355.72"/>
    <n v="438.27"/>
    <s v="Returning"/>
    <x v="18"/>
    <x v="1"/>
    <x v="0"/>
    <x v="2"/>
  </r>
  <r>
    <n v="1100"/>
    <x v="266"/>
    <x v="1"/>
    <x v="1"/>
    <n v="1629.47"/>
    <n v="39"/>
    <x v="3"/>
    <n v="3685.03"/>
    <n v="3743.39"/>
    <s v="New"/>
    <x v="30"/>
    <x v="1"/>
    <x v="0"/>
    <x v="13"/>
  </r>
  <r>
    <n v="1086"/>
    <x v="132"/>
    <x v="4"/>
    <x v="3"/>
    <n v="4923.93"/>
    <n v="48"/>
    <x v="1"/>
    <n v="2632.58"/>
    <n v="2926.68"/>
    <s v="Returning"/>
    <x v="6"/>
    <x v="0"/>
    <x v="0"/>
    <x v="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D0D479-E478-4177-AE05-969712A18B86}" name="PivotTable4" cacheId="0"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9">
  <location ref="A27:B40" firstHeaderRow="1" firstDataRow="1" firstDataCol="1"/>
  <pivotFields count="19">
    <pivotField showAll="0"/>
    <pivotField axis="axisRow" numFmtId="14" showAll="0">
      <items count="341">
        <item x="58"/>
        <item x="219"/>
        <item x="285"/>
        <item x="21"/>
        <item x="99"/>
        <item x="7"/>
        <item x="212"/>
        <item x="203"/>
        <item x="231"/>
        <item x="69"/>
        <item x="142"/>
        <item x="267"/>
        <item x="73"/>
        <item x="107"/>
        <item x="120"/>
        <item x="271"/>
        <item x="172"/>
        <item x="192"/>
        <item x="191"/>
        <item x="54"/>
        <item x="327"/>
        <item x="320"/>
        <item x="112"/>
        <item x="332"/>
        <item x="170"/>
        <item x="45"/>
        <item x="243"/>
        <item x="157"/>
        <item x="31"/>
        <item x="188"/>
        <item x="323"/>
        <item x="0"/>
        <item x="86"/>
        <item x="33"/>
        <item x="299"/>
        <item x="61"/>
        <item x="118"/>
        <item x="32"/>
        <item x="241"/>
        <item x="5"/>
        <item x="268"/>
        <item x="306"/>
        <item x="248"/>
        <item x="57"/>
        <item x="180"/>
        <item x="331"/>
        <item x="156"/>
        <item x="286"/>
        <item x="225"/>
        <item x="206"/>
        <item x="164"/>
        <item x="302"/>
        <item x="269"/>
        <item x="325"/>
        <item x="229"/>
        <item x="88"/>
        <item x="263"/>
        <item x="42"/>
        <item x="113"/>
        <item x="249"/>
        <item x="284"/>
        <item x="119"/>
        <item x="295"/>
        <item x="83"/>
        <item x="19"/>
        <item x="288"/>
        <item x="260"/>
        <item x="316"/>
        <item x="37"/>
        <item x="85"/>
        <item x="313"/>
        <item x="101"/>
        <item x="324"/>
        <item x="270"/>
        <item x="228"/>
        <item x="218"/>
        <item x="4"/>
        <item x="76"/>
        <item x="215"/>
        <item x="126"/>
        <item x="202"/>
        <item x="210"/>
        <item x="103"/>
        <item x="59"/>
        <item x="154"/>
        <item x="329"/>
        <item x="41"/>
        <item x="25"/>
        <item x="209"/>
        <item x="123"/>
        <item x="238"/>
        <item x="292"/>
        <item x="6"/>
        <item x="265"/>
        <item x="274"/>
        <item x="106"/>
        <item x="297"/>
        <item x="153"/>
        <item x="289"/>
        <item x="264"/>
        <item x="237"/>
        <item x="161"/>
        <item x="1"/>
        <item x="20"/>
        <item x="55"/>
        <item x="194"/>
        <item x="137"/>
        <item x="334"/>
        <item x="167"/>
        <item x="40"/>
        <item x="223"/>
        <item x="211"/>
        <item x="247"/>
        <item x="127"/>
        <item x="298"/>
        <item x="110"/>
        <item x="152"/>
        <item x="173"/>
        <item x="261"/>
        <item x="75"/>
        <item x="198"/>
        <item x="102"/>
        <item x="48"/>
        <item x="39"/>
        <item x="135"/>
        <item x="28"/>
        <item x="71"/>
        <item x="63"/>
        <item x="56"/>
        <item x="149"/>
        <item x="60"/>
        <item x="114"/>
        <item x="190"/>
        <item x="116"/>
        <item x="239"/>
        <item x="216"/>
        <item x="141"/>
        <item x="165"/>
        <item x="16"/>
        <item x="214"/>
        <item x="26"/>
        <item x="115"/>
        <item x="168"/>
        <item x="309"/>
        <item x="179"/>
        <item x="121"/>
        <item x="189"/>
        <item x="130"/>
        <item x="294"/>
        <item x="67"/>
        <item x="201"/>
        <item x="315"/>
        <item x="254"/>
        <item x="98"/>
        <item x="196"/>
        <item x="74"/>
        <item x="305"/>
        <item x="277"/>
        <item x="151"/>
        <item x="72"/>
        <item x="46"/>
        <item x="330"/>
        <item x="193"/>
        <item x="273"/>
        <item x="177"/>
        <item x="68"/>
        <item x="109"/>
        <item x="8"/>
        <item x="253"/>
        <item x="162"/>
        <item x="276"/>
        <item x="134"/>
        <item x="281"/>
        <item x="301"/>
        <item x="255"/>
        <item x="217"/>
        <item x="183"/>
        <item x="246"/>
        <item x="308"/>
        <item x="319"/>
        <item x="251"/>
        <item x="43"/>
        <item x="222"/>
        <item x="125"/>
        <item x="220"/>
        <item x="18"/>
        <item x="272"/>
        <item x="144"/>
        <item x="233"/>
        <item x="166"/>
        <item x="44"/>
        <item x="322"/>
        <item x="333"/>
        <item x="312"/>
        <item x="339"/>
        <item x="328"/>
        <item x="230"/>
        <item x="150"/>
        <item x="187"/>
        <item x="52"/>
        <item x="97"/>
        <item x="159"/>
        <item x="186"/>
        <item x="133"/>
        <item x="262"/>
        <item x="148"/>
        <item x="244"/>
        <item x="36"/>
        <item x="338"/>
        <item x="195"/>
        <item x="34"/>
        <item x="185"/>
        <item x="53"/>
        <item x="11"/>
        <item x="257"/>
        <item x="132"/>
        <item x="14"/>
        <item x="122"/>
        <item x="256"/>
        <item x="314"/>
        <item x="221"/>
        <item x="236"/>
        <item x="3"/>
        <item x="104"/>
        <item x="337"/>
        <item x="208"/>
        <item x="290"/>
        <item x="318"/>
        <item x="30"/>
        <item x="169"/>
        <item x="280"/>
        <item x="234"/>
        <item x="29"/>
        <item x="207"/>
        <item x="259"/>
        <item x="175"/>
        <item x="124"/>
        <item x="205"/>
        <item x="224"/>
        <item x="160"/>
        <item x="311"/>
        <item x="66"/>
        <item x="287"/>
        <item x="70"/>
        <item x="291"/>
        <item x="213"/>
        <item x="2"/>
        <item x="81"/>
        <item x="199"/>
        <item x="91"/>
        <item x="245"/>
        <item x="278"/>
        <item x="93"/>
        <item x="326"/>
        <item x="282"/>
        <item x="80"/>
        <item x="279"/>
        <item x="51"/>
        <item x="17"/>
        <item x="235"/>
        <item x="227"/>
        <item x="232"/>
        <item x="9"/>
        <item x="140"/>
        <item x="300"/>
        <item x="178"/>
        <item x="95"/>
        <item x="155"/>
        <item x="108"/>
        <item x="15"/>
        <item x="96"/>
        <item x="138"/>
        <item x="62"/>
        <item x="129"/>
        <item x="105"/>
        <item x="87"/>
        <item x="158"/>
        <item x="139"/>
        <item x="47"/>
        <item x="275"/>
        <item x="146"/>
        <item x="131"/>
        <item x="304"/>
        <item x="82"/>
        <item x="321"/>
        <item x="252"/>
        <item x="117"/>
        <item x="250"/>
        <item x="27"/>
        <item x="258"/>
        <item x="163"/>
        <item x="310"/>
        <item x="12"/>
        <item x="94"/>
        <item x="335"/>
        <item x="24"/>
        <item x="78"/>
        <item x="10"/>
        <item x="77"/>
        <item x="35"/>
        <item x="204"/>
        <item x="50"/>
        <item x="49"/>
        <item x="184"/>
        <item x="90"/>
        <item x="79"/>
        <item x="128"/>
        <item x="23"/>
        <item x="136"/>
        <item x="65"/>
        <item x="84"/>
        <item x="38"/>
        <item x="303"/>
        <item x="181"/>
        <item x="293"/>
        <item x="100"/>
        <item x="283"/>
        <item x="240"/>
        <item x="182"/>
        <item x="176"/>
        <item x="307"/>
        <item x="145"/>
        <item x="171"/>
        <item x="336"/>
        <item x="89"/>
        <item x="22"/>
        <item x="317"/>
        <item x="111"/>
        <item x="266"/>
        <item x="226"/>
        <item x="64"/>
        <item x="296"/>
        <item x="197"/>
        <item x="143"/>
        <item x="92"/>
        <item x="242"/>
        <item x="147"/>
        <item x="174"/>
        <item x="13"/>
        <item x="200"/>
        <item t="default"/>
      </items>
    </pivotField>
    <pivotField showAll="0"/>
    <pivotField showAll="0">
      <items count="5">
        <item x="3"/>
        <item x="0"/>
        <item x="2"/>
        <item x="1"/>
        <item t="default"/>
      </items>
    </pivotField>
    <pivotField dataField="1" showAll="0"/>
    <pivotField showAll="0"/>
    <pivotField axis="axisRow" showAll="0">
      <items count="5">
        <item sd="0" x="2"/>
        <item sd="0" x="3"/>
        <item sd="0" x="1"/>
        <item sd="0" x="0"/>
        <item t="default" sd="0"/>
      </items>
    </pivotField>
    <pivotField showAll="0"/>
    <pivotField showAll="0"/>
    <pivotField showAll="0"/>
    <pivotField showAll="0"/>
    <pivotField showAll="0"/>
    <pivotField showAll="0">
      <items count="3">
        <item x="0"/>
        <item x="1"/>
        <item t="default"/>
      </items>
    </pivotField>
    <pivotField showAll="0">
      <items count="21">
        <item x="18"/>
        <item x="12"/>
        <item x="4"/>
        <item x="16"/>
        <item x="14"/>
        <item x="15"/>
        <item x="0"/>
        <item x="19"/>
        <item x="11"/>
        <item x="7"/>
        <item x="9"/>
        <item x="3"/>
        <item x="10"/>
        <item x="2"/>
        <item x="6"/>
        <item x="17"/>
        <item x="1"/>
        <item x="5"/>
        <item x="13"/>
        <item x="8"/>
        <item t="default"/>
      </items>
    </pivotField>
    <pivotField axis="axisRow" showAll="0">
      <items count="15">
        <item sd="0" x="0"/>
        <item sd="0" x="1"/>
        <item sd="0" x="2"/>
        <item sd="0" x="3"/>
        <item sd="0" x="4"/>
        <item sd="0" x="5"/>
        <item sd="0" x="6"/>
        <item sd="0" x="7"/>
        <item sd="0" x="8"/>
        <item sd="0" x="9"/>
        <item sd="0" x="10"/>
        <item sd="0" x="11"/>
        <item sd="0" x="12"/>
        <item sd="0" x="13"/>
        <item t="default" sd="0"/>
      </items>
    </pivotField>
    <pivotField showAll="0">
      <items count="7">
        <item sd="0" x="0"/>
        <item sd="0" x="1"/>
        <item sd="0" x="2"/>
        <item sd="0" x="3"/>
        <item sd="0" x="4"/>
        <item sd="0" x="5"/>
        <item t="default"/>
      </items>
    </pivotField>
    <pivotField showAll="0">
      <items count="5">
        <item sd="0" x="0"/>
        <item sd="0" x="1"/>
        <item sd="0" x="2"/>
        <item sd="0" x="3"/>
        <item t="default"/>
      </items>
    </pivotField>
    <pivotField dragToRow="0" dragToCol="0" dragToPage="0" showAll="0" defaultSubtotal="0"/>
    <pivotField dragToRow="0" dragToCol="0" dragToPage="0" showAll="0" defaultSubtotal="0"/>
  </pivotFields>
  <rowFields count="3">
    <field x="14"/>
    <field x="6"/>
    <field x="1"/>
  </rowFields>
  <rowItems count="13">
    <i>
      <x v="1"/>
    </i>
    <i>
      <x v="2"/>
    </i>
    <i>
      <x v="3"/>
    </i>
    <i>
      <x v="4"/>
    </i>
    <i>
      <x v="5"/>
    </i>
    <i>
      <x v="6"/>
    </i>
    <i>
      <x v="7"/>
    </i>
    <i>
      <x v="8"/>
    </i>
    <i>
      <x v="9"/>
    </i>
    <i>
      <x v="10"/>
    </i>
    <i>
      <x v="11"/>
    </i>
    <i>
      <x v="12"/>
    </i>
    <i t="grand">
      <x/>
    </i>
  </rowItems>
  <colItems count="1">
    <i/>
  </colItems>
  <dataFields count="1">
    <dataField name="Sum of Sales_Amount" fld="4"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1D686C-29E9-49E5-96D7-B1D73A894FD4}"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A19:B24" firstHeaderRow="1" firstDataRow="1" firstDataCol="1"/>
  <pivotFields count="19">
    <pivotField showAll="0"/>
    <pivotField numFmtId="14" showAll="0">
      <items count="341">
        <item x="58"/>
        <item x="219"/>
        <item x="285"/>
        <item x="21"/>
        <item x="99"/>
        <item x="7"/>
        <item x="212"/>
        <item x="203"/>
        <item x="231"/>
        <item x="69"/>
        <item x="142"/>
        <item x="267"/>
        <item x="73"/>
        <item x="107"/>
        <item x="120"/>
        <item x="271"/>
        <item x="172"/>
        <item x="192"/>
        <item x="191"/>
        <item x="54"/>
        <item x="327"/>
        <item x="320"/>
        <item x="112"/>
        <item x="332"/>
        <item x="170"/>
        <item x="45"/>
        <item x="243"/>
        <item x="157"/>
        <item x="31"/>
        <item x="188"/>
        <item x="323"/>
        <item x="0"/>
        <item x="86"/>
        <item x="33"/>
        <item x="299"/>
        <item x="61"/>
        <item x="118"/>
        <item x="32"/>
        <item x="241"/>
        <item x="5"/>
        <item x="268"/>
        <item x="306"/>
        <item x="248"/>
        <item x="57"/>
        <item x="180"/>
        <item x="331"/>
        <item x="156"/>
        <item x="286"/>
        <item x="225"/>
        <item x="206"/>
        <item x="164"/>
        <item x="302"/>
        <item x="269"/>
        <item x="325"/>
        <item x="229"/>
        <item x="88"/>
        <item x="263"/>
        <item x="42"/>
        <item x="113"/>
        <item x="249"/>
        <item x="284"/>
        <item x="119"/>
        <item x="295"/>
        <item x="83"/>
        <item x="19"/>
        <item x="288"/>
        <item x="260"/>
        <item x="316"/>
        <item x="37"/>
        <item x="85"/>
        <item x="313"/>
        <item x="101"/>
        <item x="324"/>
        <item x="270"/>
        <item x="228"/>
        <item x="218"/>
        <item x="4"/>
        <item x="76"/>
        <item x="215"/>
        <item x="126"/>
        <item x="202"/>
        <item x="210"/>
        <item x="103"/>
        <item x="59"/>
        <item x="154"/>
        <item x="329"/>
        <item x="41"/>
        <item x="25"/>
        <item x="209"/>
        <item x="123"/>
        <item x="238"/>
        <item x="292"/>
        <item x="6"/>
        <item x="265"/>
        <item x="274"/>
        <item x="106"/>
        <item x="297"/>
        <item x="153"/>
        <item x="289"/>
        <item x="264"/>
        <item x="237"/>
        <item x="161"/>
        <item x="1"/>
        <item x="20"/>
        <item x="55"/>
        <item x="194"/>
        <item x="137"/>
        <item x="334"/>
        <item x="167"/>
        <item x="40"/>
        <item x="223"/>
        <item x="211"/>
        <item x="247"/>
        <item x="127"/>
        <item x="298"/>
        <item x="110"/>
        <item x="152"/>
        <item x="173"/>
        <item x="261"/>
        <item x="75"/>
        <item x="198"/>
        <item x="102"/>
        <item x="48"/>
        <item x="39"/>
        <item x="135"/>
        <item x="28"/>
        <item x="71"/>
        <item x="63"/>
        <item x="56"/>
        <item x="149"/>
        <item x="60"/>
        <item x="114"/>
        <item x="190"/>
        <item x="116"/>
        <item x="239"/>
        <item x="216"/>
        <item x="141"/>
        <item x="165"/>
        <item x="16"/>
        <item x="214"/>
        <item x="26"/>
        <item x="115"/>
        <item x="168"/>
        <item x="309"/>
        <item x="179"/>
        <item x="121"/>
        <item x="189"/>
        <item x="130"/>
        <item x="294"/>
        <item x="67"/>
        <item x="201"/>
        <item x="315"/>
        <item x="254"/>
        <item x="98"/>
        <item x="196"/>
        <item x="74"/>
        <item x="305"/>
        <item x="277"/>
        <item x="151"/>
        <item x="72"/>
        <item x="46"/>
        <item x="330"/>
        <item x="193"/>
        <item x="273"/>
        <item x="177"/>
        <item x="68"/>
        <item x="109"/>
        <item x="8"/>
        <item x="253"/>
        <item x="162"/>
        <item x="276"/>
        <item x="134"/>
        <item x="281"/>
        <item x="301"/>
        <item x="255"/>
        <item x="217"/>
        <item x="183"/>
        <item x="246"/>
        <item x="308"/>
        <item x="319"/>
        <item x="251"/>
        <item x="43"/>
        <item x="222"/>
        <item x="125"/>
        <item x="220"/>
        <item x="18"/>
        <item x="272"/>
        <item x="144"/>
        <item x="233"/>
        <item x="166"/>
        <item x="44"/>
        <item x="322"/>
        <item x="333"/>
        <item x="312"/>
        <item x="339"/>
        <item x="328"/>
        <item x="230"/>
        <item x="150"/>
        <item x="187"/>
        <item x="52"/>
        <item x="97"/>
        <item x="159"/>
        <item x="186"/>
        <item x="133"/>
        <item x="262"/>
        <item x="148"/>
        <item x="244"/>
        <item x="36"/>
        <item x="338"/>
        <item x="195"/>
        <item x="34"/>
        <item x="185"/>
        <item x="53"/>
        <item x="11"/>
        <item x="257"/>
        <item x="132"/>
        <item x="14"/>
        <item x="122"/>
        <item x="256"/>
        <item x="314"/>
        <item x="221"/>
        <item x="236"/>
        <item x="3"/>
        <item x="104"/>
        <item x="337"/>
        <item x="208"/>
        <item x="290"/>
        <item x="318"/>
        <item x="30"/>
        <item x="169"/>
        <item x="280"/>
        <item x="234"/>
        <item x="29"/>
        <item x="207"/>
        <item x="259"/>
        <item x="175"/>
        <item x="124"/>
        <item x="205"/>
        <item x="224"/>
        <item x="160"/>
        <item x="311"/>
        <item x="66"/>
        <item x="287"/>
        <item x="70"/>
        <item x="291"/>
        <item x="213"/>
        <item x="2"/>
        <item x="81"/>
        <item x="199"/>
        <item x="91"/>
        <item x="245"/>
        <item x="278"/>
        <item x="93"/>
        <item x="326"/>
        <item x="282"/>
        <item x="80"/>
        <item x="279"/>
        <item x="51"/>
        <item x="17"/>
        <item x="235"/>
        <item x="227"/>
        <item x="232"/>
        <item x="9"/>
        <item x="140"/>
        <item x="300"/>
        <item x="178"/>
        <item x="95"/>
        <item x="155"/>
        <item x="108"/>
        <item x="15"/>
        <item x="96"/>
        <item x="138"/>
        <item x="62"/>
        <item x="129"/>
        <item x="105"/>
        <item x="87"/>
        <item x="158"/>
        <item x="139"/>
        <item x="47"/>
        <item x="275"/>
        <item x="146"/>
        <item x="131"/>
        <item x="304"/>
        <item x="82"/>
        <item x="321"/>
        <item x="252"/>
        <item x="117"/>
        <item x="250"/>
        <item x="27"/>
        <item x="258"/>
        <item x="163"/>
        <item x="310"/>
        <item x="12"/>
        <item x="94"/>
        <item x="335"/>
        <item x="24"/>
        <item x="78"/>
        <item x="10"/>
        <item x="77"/>
        <item x="35"/>
        <item x="204"/>
        <item x="50"/>
        <item x="49"/>
        <item x="184"/>
        <item x="90"/>
        <item x="79"/>
        <item x="128"/>
        <item x="23"/>
        <item x="136"/>
        <item x="65"/>
        <item x="84"/>
        <item x="38"/>
        <item x="303"/>
        <item x="181"/>
        <item x="293"/>
        <item x="100"/>
        <item x="283"/>
        <item x="240"/>
        <item x="182"/>
        <item x="176"/>
        <item x="307"/>
        <item x="145"/>
        <item x="171"/>
        <item x="336"/>
        <item x="89"/>
        <item x="22"/>
        <item x="317"/>
        <item x="111"/>
        <item x="266"/>
        <item x="226"/>
        <item x="64"/>
        <item x="296"/>
        <item x="197"/>
        <item x="143"/>
        <item x="92"/>
        <item x="242"/>
        <item x="147"/>
        <item x="174"/>
        <item x="13"/>
        <item x="200"/>
        <item t="default"/>
      </items>
    </pivotField>
    <pivotField showAll="0"/>
    <pivotField showAll="0">
      <items count="5">
        <item x="3"/>
        <item x="0"/>
        <item x="2"/>
        <item x="1"/>
        <item t="default"/>
      </items>
    </pivotField>
    <pivotField showAll="0"/>
    <pivotField dataField="1" showAll="0"/>
    <pivotField axis="axisRow" showAll="0">
      <items count="5">
        <item x="2"/>
        <item x="3"/>
        <item x="1"/>
        <item x="0"/>
        <item t="default"/>
      </items>
    </pivotField>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dragToRow="0" dragToCol="0" dragToPage="0" showAll="0" defaultSubtotal="0"/>
    <pivotField dragToRow="0" dragToCol="0" dragToPage="0" showAll="0" defaultSubtotal="0"/>
  </pivotFields>
  <rowFields count="1">
    <field x="6"/>
  </rowFields>
  <rowItems count="5">
    <i>
      <x/>
    </i>
    <i>
      <x v="1"/>
    </i>
    <i>
      <x v="2"/>
    </i>
    <i>
      <x v="3"/>
    </i>
    <i t="grand">
      <x/>
    </i>
  </rowItems>
  <colItems count="1">
    <i/>
  </colItems>
  <dataFields count="1">
    <dataField name="Count of Quantity_Sold" fld="5" subtotal="count" baseField="6" baseItem="3"/>
  </dataFields>
  <chartFormats count="10">
    <chartFormat chart="1" format="0"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6" count="1" selected="0">
            <x v="0"/>
          </reference>
        </references>
      </pivotArea>
    </chartFormat>
    <chartFormat chart="6" format="8">
      <pivotArea type="data" outline="0" fieldPosition="0">
        <references count="2">
          <reference field="4294967294" count="1" selected="0">
            <x v="0"/>
          </reference>
          <reference field="6" count="1" selected="0">
            <x v="1"/>
          </reference>
        </references>
      </pivotArea>
    </chartFormat>
    <chartFormat chart="6" format="9">
      <pivotArea type="data" outline="0" fieldPosition="0">
        <references count="2">
          <reference field="4294967294" count="1" selected="0">
            <x v="0"/>
          </reference>
          <reference field="6" count="1" selected="0">
            <x v="2"/>
          </reference>
        </references>
      </pivotArea>
    </chartFormat>
    <chartFormat chart="6" format="10">
      <pivotArea type="data" outline="0" fieldPosition="0">
        <references count="2">
          <reference field="4294967294" count="1" selected="0">
            <x v="0"/>
          </reference>
          <reference field="6" count="1" selected="0">
            <x v="3"/>
          </reference>
        </references>
      </pivotArea>
    </chartFormat>
    <chartFormat chart="1" format="1">
      <pivotArea type="data" outline="0" fieldPosition="0">
        <references count="2">
          <reference field="4294967294" count="1" selected="0">
            <x v="0"/>
          </reference>
          <reference field="6" count="1" selected="0">
            <x v="0"/>
          </reference>
        </references>
      </pivotArea>
    </chartFormat>
    <chartFormat chart="1" format="2">
      <pivotArea type="data" outline="0" fieldPosition="0">
        <references count="2">
          <reference field="4294967294" count="1" selected="0">
            <x v="0"/>
          </reference>
          <reference field="6" count="1" selected="0">
            <x v="1"/>
          </reference>
        </references>
      </pivotArea>
    </chartFormat>
    <chartFormat chart="1" format="3">
      <pivotArea type="data" outline="0" fieldPosition="0">
        <references count="2">
          <reference field="4294967294" count="1" selected="0">
            <x v="0"/>
          </reference>
          <reference field="6" count="1" selected="0">
            <x v="2"/>
          </reference>
        </references>
      </pivotArea>
    </chartFormat>
    <chartFormat chart="1" format="4">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818CDA7-81B1-405A-BB7D-67DFEFAC1D20}"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11:F17" firstHeaderRow="1" firstDataRow="2" firstDataCol="1"/>
  <pivotFields count="19">
    <pivotField showAll="0"/>
    <pivotField numFmtId="14" showAll="0">
      <items count="341">
        <item x="58"/>
        <item x="219"/>
        <item x="285"/>
        <item x="21"/>
        <item x="99"/>
        <item x="7"/>
        <item x="212"/>
        <item x="203"/>
        <item x="231"/>
        <item x="69"/>
        <item x="142"/>
        <item x="267"/>
        <item x="73"/>
        <item x="107"/>
        <item x="120"/>
        <item x="271"/>
        <item x="172"/>
        <item x="192"/>
        <item x="191"/>
        <item x="54"/>
        <item x="327"/>
        <item x="320"/>
        <item x="112"/>
        <item x="332"/>
        <item x="170"/>
        <item x="45"/>
        <item x="243"/>
        <item x="157"/>
        <item x="31"/>
        <item x="188"/>
        <item x="323"/>
        <item x="0"/>
        <item x="86"/>
        <item x="33"/>
        <item x="299"/>
        <item x="61"/>
        <item x="118"/>
        <item x="32"/>
        <item x="241"/>
        <item x="5"/>
        <item x="268"/>
        <item x="306"/>
        <item x="248"/>
        <item x="57"/>
        <item x="180"/>
        <item x="331"/>
        <item x="156"/>
        <item x="286"/>
        <item x="225"/>
        <item x="206"/>
        <item x="164"/>
        <item x="302"/>
        <item x="269"/>
        <item x="325"/>
        <item x="229"/>
        <item x="88"/>
        <item x="263"/>
        <item x="42"/>
        <item x="113"/>
        <item x="249"/>
        <item x="284"/>
        <item x="119"/>
        <item x="295"/>
        <item x="83"/>
        <item x="19"/>
        <item x="288"/>
        <item x="260"/>
        <item x="316"/>
        <item x="37"/>
        <item x="85"/>
        <item x="313"/>
        <item x="101"/>
        <item x="324"/>
        <item x="270"/>
        <item x="228"/>
        <item x="218"/>
        <item x="4"/>
        <item x="76"/>
        <item x="215"/>
        <item x="126"/>
        <item x="202"/>
        <item x="210"/>
        <item x="103"/>
        <item x="59"/>
        <item x="154"/>
        <item x="329"/>
        <item x="41"/>
        <item x="25"/>
        <item x="209"/>
        <item x="123"/>
        <item x="238"/>
        <item x="292"/>
        <item x="6"/>
        <item x="265"/>
        <item x="274"/>
        <item x="106"/>
        <item x="297"/>
        <item x="153"/>
        <item x="289"/>
        <item x="264"/>
        <item x="237"/>
        <item x="161"/>
        <item x="1"/>
        <item x="20"/>
        <item x="55"/>
        <item x="194"/>
        <item x="137"/>
        <item x="334"/>
        <item x="167"/>
        <item x="40"/>
        <item x="223"/>
        <item x="211"/>
        <item x="247"/>
        <item x="127"/>
        <item x="298"/>
        <item x="110"/>
        <item x="152"/>
        <item x="173"/>
        <item x="261"/>
        <item x="75"/>
        <item x="198"/>
        <item x="102"/>
        <item x="48"/>
        <item x="39"/>
        <item x="135"/>
        <item x="28"/>
        <item x="71"/>
        <item x="63"/>
        <item x="56"/>
        <item x="149"/>
        <item x="60"/>
        <item x="114"/>
        <item x="190"/>
        <item x="116"/>
        <item x="239"/>
        <item x="216"/>
        <item x="141"/>
        <item x="165"/>
        <item x="16"/>
        <item x="214"/>
        <item x="26"/>
        <item x="115"/>
        <item x="168"/>
        <item x="309"/>
        <item x="179"/>
        <item x="121"/>
        <item x="189"/>
        <item x="130"/>
        <item x="294"/>
        <item x="67"/>
        <item x="201"/>
        <item x="315"/>
        <item x="254"/>
        <item x="98"/>
        <item x="196"/>
        <item x="74"/>
        <item x="305"/>
        <item x="277"/>
        <item x="151"/>
        <item x="72"/>
        <item x="46"/>
        <item x="330"/>
        <item x="193"/>
        <item x="273"/>
        <item x="177"/>
        <item x="68"/>
        <item x="109"/>
        <item x="8"/>
        <item x="253"/>
        <item x="162"/>
        <item x="276"/>
        <item x="134"/>
        <item x="281"/>
        <item x="301"/>
        <item x="255"/>
        <item x="217"/>
        <item x="183"/>
        <item x="246"/>
        <item x="308"/>
        <item x="319"/>
        <item x="251"/>
        <item x="43"/>
        <item x="222"/>
        <item x="125"/>
        <item x="220"/>
        <item x="18"/>
        <item x="272"/>
        <item x="144"/>
        <item x="233"/>
        <item x="166"/>
        <item x="44"/>
        <item x="322"/>
        <item x="333"/>
        <item x="312"/>
        <item x="339"/>
        <item x="328"/>
        <item x="230"/>
        <item x="150"/>
        <item x="187"/>
        <item x="52"/>
        <item x="97"/>
        <item x="159"/>
        <item x="186"/>
        <item x="133"/>
        <item x="262"/>
        <item x="148"/>
        <item x="244"/>
        <item x="36"/>
        <item x="338"/>
        <item x="195"/>
        <item x="34"/>
        <item x="185"/>
        <item x="53"/>
        <item x="11"/>
        <item x="257"/>
        <item x="132"/>
        <item x="14"/>
        <item x="122"/>
        <item x="256"/>
        <item x="314"/>
        <item x="221"/>
        <item x="236"/>
        <item x="3"/>
        <item x="104"/>
        <item x="337"/>
        <item x="208"/>
        <item x="290"/>
        <item x="318"/>
        <item x="30"/>
        <item x="169"/>
        <item x="280"/>
        <item x="234"/>
        <item x="29"/>
        <item x="207"/>
        <item x="259"/>
        <item x="175"/>
        <item x="124"/>
        <item x="205"/>
        <item x="224"/>
        <item x="160"/>
        <item x="311"/>
        <item x="66"/>
        <item x="287"/>
        <item x="70"/>
        <item x="291"/>
        <item x="213"/>
        <item x="2"/>
        <item x="81"/>
        <item x="199"/>
        <item x="91"/>
        <item x="245"/>
        <item x="278"/>
        <item x="93"/>
        <item x="326"/>
        <item x="282"/>
        <item x="80"/>
        <item x="279"/>
        <item x="51"/>
        <item x="17"/>
        <item x="235"/>
        <item x="227"/>
        <item x="232"/>
        <item x="9"/>
        <item x="140"/>
        <item x="300"/>
        <item x="178"/>
        <item x="95"/>
        <item x="155"/>
        <item x="108"/>
        <item x="15"/>
        <item x="96"/>
        <item x="138"/>
        <item x="62"/>
        <item x="129"/>
        <item x="105"/>
        <item x="87"/>
        <item x="158"/>
        <item x="139"/>
        <item x="47"/>
        <item x="275"/>
        <item x="146"/>
        <item x="131"/>
        <item x="304"/>
        <item x="82"/>
        <item x="321"/>
        <item x="252"/>
        <item x="117"/>
        <item x="250"/>
        <item x="27"/>
        <item x="258"/>
        <item x="163"/>
        <item x="310"/>
        <item x="12"/>
        <item x="94"/>
        <item x="335"/>
        <item x="24"/>
        <item x="78"/>
        <item x="10"/>
        <item x="77"/>
        <item x="35"/>
        <item x="204"/>
        <item x="50"/>
        <item x="49"/>
        <item x="184"/>
        <item x="90"/>
        <item x="79"/>
        <item x="128"/>
        <item x="23"/>
        <item x="136"/>
        <item x="65"/>
        <item x="84"/>
        <item x="38"/>
        <item x="303"/>
        <item x="181"/>
        <item x="293"/>
        <item x="100"/>
        <item x="283"/>
        <item x="240"/>
        <item x="182"/>
        <item x="176"/>
        <item x="307"/>
        <item x="145"/>
        <item x="171"/>
        <item x="336"/>
        <item x="89"/>
        <item x="22"/>
        <item x="317"/>
        <item x="111"/>
        <item x="266"/>
        <item x="226"/>
        <item x="64"/>
        <item x="296"/>
        <item x="197"/>
        <item x="143"/>
        <item x="92"/>
        <item x="242"/>
        <item x="147"/>
        <item x="174"/>
        <item x="13"/>
        <item x="200"/>
        <item t="default"/>
      </items>
    </pivotField>
    <pivotField showAll="0"/>
    <pivotField axis="axisRow" showAll="0">
      <items count="5">
        <item x="3"/>
        <item x="0"/>
        <item x="2"/>
        <item x="1"/>
        <item t="default"/>
      </items>
    </pivotField>
    <pivotField dataField="1" showAll="0"/>
    <pivotField showAll="0"/>
    <pivotField axis="axisCol" showAll="0">
      <items count="5">
        <item x="2"/>
        <item x="3"/>
        <item x="1"/>
        <item x="0"/>
        <item t="default"/>
      </items>
    </pivotField>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dragToRow="0" dragToCol="0" dragToPage="0" showAll="0" defaultSubtotal="0"/>
    <pivotField dragToRow="0" dragToCol="0" dragToPage="0" showAll="0" defaultSubtotal="0"/>
  </pivotFields>
  <rowFields count="1">
    <field x="3"/>
  </rowFields>
  <rowItems count="5">
    <i>
      <x/>
    </i>
    <i>
      <x v="1"/>
    </i>
    <i>
      <x v="2"/>
    </i>
    <i>
      <x v="3"/>
    </i>
    <i t="grand">
      <x/>
    </i>
  </rowItems>
  <colFields count="1">
    <field x="6"/>
  </colFields>
  <colItems count="5">
    <i>
      <x/>
    </i>
    <i>
      <x v="1"/>
    </i>
    <i>
      <x v="2"/>
    </i>
    <i>
      <x v="3"/>
    </i>
    <i t="grand">
      <x/>
    </i>
  </colItems>
  <dataFields count="1">
    <dataField name="Sum of Sales_Amount" fld="4" baseField="0" baseItem="0"/>
  </dataFields>
  <chartFormats count="13">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1">
          <reference field="4294967294" count="1" selected="0">
            <x v="0"/>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6" series="1">
      <pivotArea type="data" outline="0" fieldPosition="0">
        <references count="2">
          <reference field="4294967294" count="1" selected="0">
            <x v="0"/>
          </reference>
          <reference field="6" count="1" selected="0">
            <x v="2"/>
          </reference>
        </references>
      </pivotArea>
    </chartFormat>
    <chartFormat chart="0" format="7" series="1">
      <pivotArea type="data" outline="0" fieldPosition="0">
        <references count="2">
          <reference field="4294967294" count="1" selected="0">
            <x v="0"/>
          </reference>
          <reference field="6" count="1" selected="0">
            <x v="3"/>
          </reference>
        </references>
      </pivotArea>
    </chartFormat>
    <chartFormat chart="3" format="12" series="1">
      <pivotArea type="data" outline="0" fieldPosition="0">
        <references count="2">
          <reference field="4294967294" count="1" selected="0">
            <x v="0"/>
          </reference>
          <reference field="6" count="1" selected="0">
            <x v="0"/>
          </reference>
        </references>
      </pivotArea>
    </chartFormat>
    <chartFormat chart="3" format="13" series="1">
      <pivotArea type="data" outline="0" fieldPosition="0">
        <references count="2">
          <reference field="4294967294" count="1" selected="0">
            <x v="0"/>
          </reference>
          <reference field="6" count="1" selected="0">
            <x v="1"/>
          </reference>
        </references>
      </pivotArea>
    </chartFormat>
    <chartFormat chart="3" format="14" series="1">
      <pivotArea type="data" outline="0" fieldPosition="0">
        <references count="2">
          <reference field="4294967294" count="1" selected="0">
            <x v="0"/>
          </reference>
          <reference field="6" count="1" selected="0">
            <x v="2"/>
          </reference>
        </references>
      </pivotArea>
    </chartFormat>
    <chartFormat chart="3" format="15" series="1">
      <pivotArea type="data" outline="0" fieldPosition="0">
        <references count="2">
          <reference field="4294967294" count="1" selected="0">
            <x v="0"/>
          </reference>
          <reference field="6" count="1" selected="0">
            <x v="3"/>
          </reference>
        </references>
      </pivotArea>
    </chartFormat>
    <chartFormat chart="0" format="8"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F4D5BE5-54F4-444B-A295-1FA8F14C4A50}"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B8" firstHeaderRow="1" firstDataRow="1" firstDataCol="1"/>
  <pivotFields count="19">
    <pivotField showAll="0"/>
    <pivotField numFmtId="14" showAll="0">
      <items count="341">
        <item x="58"/>
        <item x="219"/>
        <item x="285"/>
        <item x="21"/>
        <item x="99"/>
        <item x="7"/>
        <item x="212"/>
        <item x="203"/>
        <item x="231"/>
        <item x="69"/>
        <item x="142"/>
        <item x="267"/>
        <item x="73"/>
        <item x="107"/>
        <item x="120"/>
        <item x="271"/>
        <item x="172"/>
        <item x="192"/>
        <item x="191"/>
        <item x="54"/>
        <item x="327"/>
        <item x="320"/>
        <item x="112"/>
        <item x="332"/>
        <item x="170"/>
        <item x="45"/>
        <item x="243"/>
        <item x="157"/>
        <item x="31"/>
        <item x="188"/>
        <item x="323"/>
        <item x="0"/>
        <item x="86"/>
        <item x="33"/>
        <item x="299"/>
        <item x="61"/>
        <item x="118"/>
        <item x="32"/>
        <item x="241"/>
        <item x="5"/>
        <item x="268"/>
        <item x="306"/>
        <item x="248"/>
        <item x="57"/>
        <item x="180"/>
        <item x="331"/>
        <item x="156"/>
        <item x="286"/>
        <item x="225"/>
        <item x="206"/>
        <item x="164"/>
        <item x="302"/>
        <item x="269"/>
        <item x="325"/>
        <item x="229"/>
        <item x="88"/>
        <item x="263"/>
        <item x="42"/>
        <item x="113"/>
        <item x="249"/>
        <item x="284"/>
        <item x="119"/>
        <item x="295"/>
        <item x="83"/>
        <item x="19"/>
        <item x="288"/>
        <item x="260"/>
        <item x="316"/>
        <item x="37"/>
        <item x="85"/>
        <item x="313"/>
        <item x="101"/>
        <item x="324"/>
        <item x="270"/>
        <item x="228"/>
        <item x="218"/>
        <item x="4"/>
        <item x="76"/>
        <item x="215"/>
        <item x="126"/>
        <item x="202"/>
        <item x="210"/>
        <item x="103"/>
        <item x="59"/>
        <item x="154"/>
        <item x="329"/>
        <item x="41"/>
        <item x="25"/>
        <item x="209"/>
        <item x="123"/>
        <item x="238"/>
        <item x="292"/>
        <item x="6"/>
        <item x="265"/>
        <item x="274"/>
        <item x="106"/>
        <item x="297"/>
        <item x="153"/>
        <item x="289"/>
        <item x="264"/>
        <item x="237"/>
        <item x="161"/>
        <item x="1"/>
        <item x="20"/>
        <item x="55"/>
        <item x="194"/>
        <item x="137"/>
        <item x="334"/>
        <item x="167"/>
        <item x="40"/>
        <item x="223"/>
        <item x="211"/>
        <item x="247"/>
        <item x="127"/>
        <item x="298"/>
        <item x="110"/>
        <item x="152"/>
        <item x="173"/>
        <item x="261"/>
        <item x="75"/>
        <item x="198"/>
        <item x="102"/>
        <item x="48"/>
        <item x="39"/>
        <item x="135"/>
        <item x="28"/>
        <item x="71"/>
        <item x="63"/>
        <item x="56"/>
        <item x="149"/>
        <item x="60"/>
        <item x="114"/>
        <item x="190"/>
        <item x="116"/>
        <item x="239"/>
        <item x="216"/>
        <item x="141"/>
        <item x="165"/>
        <item x="16"/>
        <item x="214"/>
        <item x="26"/>
        <item x="115"/>
        <item x="168"/>
        <item x="309"/>
        <item x="179"/>
        <item x="121"/>
        <item x="189"/>
        <item x="130"/>
        <item x="294"/>
        <item x="67"/>
        <item x="201"/>
        <item x="315"/>
        <item x="254"/>
        <item x="98"/>
        <item x="196"/>
        <item x="74"/>
        <item x="305"/>
        <item x="277"/>
        <item x="151"/>
        <item x="72"/>
        <item x="46"/>
        <item x="330"/>
        <item x="193"/>
        <item x="273"/>
        <item x="177"/>
        <item x="68"/>
        <item x="109"/>
        <item x="8"/>
        <item x="253"/>
        <item x="162"/>
        <item x="276"/>
        <item x="134"/>
        <item x="281"/>
        <item x="301"/>
        <item x="255"/>
        <item x="217"/>
        <item x="183"/>
        <item x="246"/>
        <item x="308"/>
        <item x="319"/>
        <item x="251"/>
        <item x="43"/>
        <item x="222"/>
        <item x="125"/>
        <item x="220"/>
        <item x="18"/>
        <item x="272"/>
        <item x="144"/>
        <item x="233"/>
        <item x="166"/>
        <item x="44"/>
        <item x="322"/>
        <item x="333"/>
        <item x="312"/>
        <item x="339"/>
        <item x="328"/>
        <item x="230"/>
        <item x="150"/>
        <item x="187"/>
        <item x="52"/>
        <item x="97"/>
        <item x="159"/>
        <item x="186"/>
        <item x="133"/>
        <item x="262"/>
        <item x="148"/>
        <item x="244"/>
        <item x="36"/>
        <item x="338"/>
        <item x="195"/>
        <item x="34"/>
        <item x="185"/>
        <item x="53"/>
        <item x="11"/>
        <item x="257"/>
        <item x="132"/>
        <item x="14"/>
        <item x="122"/>
        <item x="256"/>
        <item x="314"/>
        <item x="221"/>
        <item x="236"/>
        <item x="3"/>
        <item x="104"/>
        <item x="337"/>
        <item x="208"/>
        <item x="290"/>
        <item x="318"/>
        <item x="30"/>
        <item x="169"/>
        <item x="280"/>
        <item x="234"/>
        <item x="29"/>
        <item x="207"/>
        <item x="259"/>
        <item x="175"/>
        <item x="124"/>
        <item x="205"/>
        <item x="224"/>
        <item x="160"/>
        <item x="311"/>
        <item x="66"/>
        <item x="287"/>
        <item x="70"/>
        <item x="291"/>
        <item x="213"/>
        <item x="2"/>
        <item x="81"/>
        <item x="199"/>
        <item x="91"/>
        <item x="245"/>
        <item x="278"/>
        <item x="93"/>
        <item x="326"/>
        <item x="282"/>
        <item x="80"/>
        <item x="279"/>
        <item x="51"/>
        <item x="17"/>
        <item x="235"/>
        <item x="227"/>
        <item x="232"/>
        <item x="9"/>
        <item x="140"/>
        <item x="300"/>
        <item x="178"/>
        <item x="95"/>
        <item x="155"/>
        <item x="108"/>
        <item x="15"/>
        <item x="96"/>
        <item x="138"/>
        <item x="62"/>
        <item x="129"/>
        <item x="105"/>
        <item x="87"/>
        <item x="158"/>
        <item x="139"/>
        <item x="47"/>
        <item x="275"/>
        <item x="146"/>
        <item x="131"/>
        <item x="304"/>
        <item x="82"/>
        <item x="321"/>
        <item x="252"/>
        <item x="117"/>
        <item x="250"/>
        <item x="27"/>
        <item x="258"/>
        <item x="163"/>
        <item x="310"/>
        <item x="12"/>
        <item x="94"/>
        <item x="335"/>
        <item x="24"/>
        <item x="78"/>
        <item x="10"/>
        <item x="77"/>
        <item x="35"/>
        <item x="204"/>
        <item x="50"/>
        <item x="49"/>
        <item x="184"/>
        <item x="90"/>
        <item x="79"/>
        <item x="128"/>
        <item x="23"/>
        <item x="136"/>
        <item x="65"/>
        <item x="84"/>
        <item x="38"/>
        <item x="303"/>
        <item x="181"/>
        <item x="293"/>
        <item x="100"/>
        <item x="283"/>
        <item x="240"/>
        <item x="182"/>
        <item x="176"/>
        <item x="307"/>
        <item x="145"/>
        <item x="171"/>
        <item x="336"/>
        <item x="89"/>
        <item x="22"/>
        <item x="317"/>
        <item x="111"/>
        <item x="266"/>
        <item x="226"/>
        <item x="64"/>
        <item x="296"/>
        <item x="197"/>
        <item x="143"/>
        <item x="92"/>
        <item x="242"/>
        <item x="147"/>
        <item x="174"/>
        <item x="13"/>
        <item x="200"/>
        <item t="default"/>
      </items>
    </pivotField>
    <pivotField showAll="0"/>
    <pivotField showAll="0">
      <items count="5">
        <item x="3"/>
        <item x="0"/>
        <item x="2"/>
        <item x="1"/>
        <item t="default"/>
      </items>
    </pivotField>
    <pivotField dataField="1" showAll="0"/>
    <pivotField showAll="0"/>
    <pivotField axis="axisRow" showAll="0">
      <items count="5">
        <item x="2"/>
        <item x="3"/>
        <item x="1"/>
        <item x="0"/>
        <item t="default"/>
      </items>
    </pivotField>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dragToRow="0" dragToCol="0" dragToPage="0" showAll="0" defaultSubtotal="0"/>
    <pivotField dragToRow="0" dragToCol="0" dragToPage="0" showAll="0" defaultSubtotal="0"/>
  </pivotFields>
  <rowFields count="1">
    <field x="6"/>
  </rowFields>
  <rowItems count="5">
    <i>
      <x/>
    </i>
    <i>
      <x v="1"/>
    </i>
    <i>
      <x v="2"/>
    </i>
    <i>
      <x v="3"/>
    </i>
    <i t="grand">
      <x/>
    </i>
  </rowItems>
  <colItems count="1">
    <i/>
  </colItems>
  <dataFields count="1">
    <dataField name="Sum of Sales_Amount" fld="4"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403C21-65E6-45F0-9EFF-67FC805A6180}"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1">
  <location ref="B52:G59" firstHeaderRow="1" firstDataRow="2" firstDataCol="1"/>
  <pivotFields count="19">
    <pivotField showAll="0"/>
    <pivotField numFmtId="14" showAll="0">
      <items count="341">
        <item x="58"/>
        <item x="219"/>
        <item x="285"/>
        <item x="21"/>
        <item x="99"/>
        <item x="7"/>
        <item x="212"/>
        <item x="203"/>
        <item x="231"/>
        <item x="69"/>
        <item x="142"/>
        <item x="267"/>
        <item x="73"/>
        <item x="107"/>
        <item x="120"/>
        <item x="271"/>
        <item x="172"/>
        <item x="192"/>
        <item x="191"/>
        <item x="54"/>
        <item x="327"/>
        <item x="320"/>
        <item x="112"/>
        <item x="332"/>
        <item x="170"/>
        <item x="45"/>
        <item x="243"/>
        <item x="157"/>
        <item x="31"/>
        <item x="188"/>
        <item x="323"/>
        <item x="0"/>
        <item x="86"/>
        <item x="33"/>
        <item x="299"/>
        <item x="61"/>
        <item x="118"/>
        <item x="32"/>
        <item x="241"/>
        <item x="5"/>
        <item x="268"/>
        <item x="306"/>
        <item x="248"/>
        <item x="57"/>
        <item x="180"/>
        <item x="331"/>
        <item x="156"/>
        <item x="286"/>
        <item x="225"/>
        <item x="206"/>
        <item x="164"/>
        <item x="302"/>
        <item x="269"/>
        <item x="325"/>
        <item x="229"/>
        <item x="88"/>
        <item x="263"/>
        <item x="42"/>
        <item x="113"/>
        <item x="249"/>
        <item x="284"/>
        <item x="119"/>
        <item x="295"/>
        <item x="83"/>
        <item x="19"/>
        <item x="288"/>
        <item x="260"/>
        <item x="316"/>
        <item x="37"/>
        <item x="85"/>
        <item x="313"/>
        <item x="101"/>
        <item x="324"/>
        <item x="270"/>
        <item x="228"/>
        <item x="218"/>
        <item x="4"/>
        <item x="76"/>
        <item x="215"/>
        <item x="126"/>
        <item x="202"/>
        <item x="210"/>
        <item x="103"/>
        <item x="59"/>
        <item x="154"/>
        <item x="329"/>
        <item x="41"/>
        <item x="25"/>
        <item x="209"/>
        <item x="123"/>
        <item x="238"/>
        <item x="292"/>
        <item x="6"/>
        <item x="265"/>
        <item x="274"/>
        <item x="106"/>
        <item x="297"/>
        <item x="153"/>
        <item x="289"/>
        <item x="264"/>
        <item x="237"/>
        <item x="161"/>
        <item x="1"/>
        <item x="20"/>
        <item x="55"/>
        <item x="194"/>
        <item x="137"/>
        <item x="334"/>
        <item x="167"/>
        <item x="40"/>
        <item x="223"/>
        <item x="211"/>
        <item x="247"/>
        <item x="127"/>
        <item x="298"/>
        <item x="110"/>
        <item x="152"/>
        <item x="173"/>
        <item x="261"/>
        <item x="75"/>
        <item x="198"/>
        <item x="102"/>
        <item x="48"/>
        <item x="39"/>
        <item x="135"/>
        <item x="28"/>
        <item x="71"/>
        <item x="63"/>
        <item x="56"/>
        <item x="149"/>
        <item x="60"/>
        <item x="114"/>
        <item x="190"/>
        <item x="116"/>
        <item x="239"/>
        <item x="216"/>
        <item x="141"/>
        <item x="165"/>
        <item x="16"/>
        <item x="214"/>
        <item x="26"/>
        <item x="115"/>
        <item x="168"/>
        <item x="309"/>
        <item x="179"/>
        <item x="121"/>
        <item x="189"/>
        <item x="130"/>
        <item x="294"/>
        <item x="67"/>
        <item x="201"/>
        <item x="315"/>
        <item x="254"/>
        <item x="98"/>
        <item x="196"/>
        <item x="74"/>
        <item x="305"/>
        <item x="277"/>
        <item x="151"/>
        <item x="72"/>
        <item x="46"/>
        <item x="330"/>
        <item x="193"/>
        <item x="273"/>
        <item x="177"/>
        <item x="68"/>
        <item x="109"/>
        <item x="8"/>
        <item x="253"/>
        <item x="162"/>
        <item x="276"/>
        <item x="134"/>
        <item x="281"/>
        <item x="301"/>
        <item x="255"/>
        <item x="217"/>
        <item x="183"/>
        <item x="246"/>
        <item x="308"/>
        <item x="319"/>
        <item x="251"/>
        <item x="43"/>
        <item x="222"/>
        <item x="125"/>
        <item x="220"/>
        <item x="18"/>
        <item x="272"/>
        <item x="144"/>
        <item x="233"/>
        <item x="166"/>
        <item x="44"/>
        <item x="322"/>
        <item x="333"/>
        <item x="312"/>
        <item x="339"/>
        <item x="328"/>
        <item x="230"/>
        <item x="150"/>
        <item x="187"/>
        <item x="52"/>
        <item x="97"/>
        <item x="159"/>
        <item x="186"/>
        <item x="133"/>
        <item x="262"/>
        <item x="148"/>
        <item x="244"/>
        <item x="36"/>
        <item x="338"/>
        <item x="195"/>
        <item x="34"/>
        <item x="185"/>
        <item x="53"/>
        <item x="11"/>
        <item x="257"/>
        <item x="132"/>
        <item x="14"/>
        <item x="122"/>
        <item x="256"/>
        <item x="314"/>
        <item x="221"/>
        <item x="236"/>
        <item x="3"/>
        <item x="104"/>
        <item x="337"/>
        <item x="208"/>
        <item x="290"/>
        <item x="318"/>
        <item x="30"/>
        <item x="169"/>
        <item x="280"/>
        <item x="234"/>
        <item x="29"/>
        <item x="207"/>
        <item x="259"/>
        <item x="175"/>
        <item x="124"/>
        <item x="205"/>
        <item x="224"/>
        <item x="160"/>
        <item x="311"/>
        <item x="66"/>
        <item x="287"/>
        <item x="70"/>
        <item x="291"/>
        <item x="213"/>
        <item x="2"/>
        <item x="81"/>
        <item x="199"/>
        <item x="91"/>
        <item x="245"/>
        <item x="278"/>
        <item x="93"/>
        <item x="326"/>
        <item x="282"/>
        <item x="80"/>
        <item x="279"/>
        <item x="51"/>
        <item x="17"/>
        <item x="235"/>
        <item x="227"/>
        <item x="232"/>
        <item x="9"/>
        <item x="140"/>
        <item x="300"/>
        <item x="178"/>
        <item x="95"/>
        <item x="155"/>
        <item x="108"/>
        <item x="15"/>
        <item x="96"/>
        <item x="138"/>
        <item x="62"/>
        <item x="129"/>
        <item x="105"/>
        <item x="87"/>
        <item x="158"/>
        <item x="139"/>
        <item x="47"/>
        <item x="275"/>
        <item x="146"/>
        <item x="131"/>
        <item x="304"/>
        <item x="82"/>
        <item x="321"/>
        <item x="252"/>
        <item x="117"/>
        <item x="250"/>
        <item x="27"/>
        <item x="258"/>
        <item x="163"/>
        <item x="310"/>
        <item x="12"/>
        <item x="94"/>
        <item x="335"/>
        <item x="24"/>
        <item x="78"/>
        <item x="10"/>
        <item x="77"/>
        <item x="35"/>
        <item x="204"/>
        <item x="50"/>
        <item x="49"/>
        <item x="184"/>
        <item x="90"/>
        <item x="79"/>
        <item x="128"/>
        <item x="23"/>
        <item x="136"/>
        <item x="65"/>
        <item x="84"/>
        <item x="38"/>
        <item x="303"/>
        <item x="181"/>
        <item x="293"/>
        <item x="100"/>
        <item x="283"/>
        <item x="240"/>
        <item x="182"/>
        <item x="176"/>
        <item x="307"/>
        <item x="145"/>
        <item x="171"/>
        <item x="336"/>
        <item x="89"/>
        <item x="22"/>
        <item x="317"/>
        <item x="111"/>
        <item x="266"/>
        <item x="226"/>
        <item x="64"/>
        <item x="296"/>
        <item x="197"/>
        <item x="143"/>
        <item x="92"/>
        <item x="242"/>
        <item x="147"/>
        <item x="174"/>
        <item x="13"/>
        <item x="200"/>
        <item t="default"/>
      </items>
    </pivotField>
    <pivotField axis="axisRow" showAll="0">
      <items count="6">
        <item x="4"/>
        <item x="0"/>
        <item x="2"/>
        <item x="1"/>
        <item x="3"/>
        <item t="default"/>
      </items>
    </pivotField>
    <pivotField showAll="0">
      <items count="5">
        <item x="3"/>
        <item x="0"/>
        <item x="2"/>
        <item x="1"/>
        <item t="default"/>
      </items>
    </pivotField>
    <pivotField dataField="1" showAll="0"/>
    <pivotField showAll="0"/>
    <pivotField axis="axisCol" showAll="0">
      <items count="5">
        <item x="2"/>
        <item x="3"/>
        <item x="1"/>
        <item x="0"/>
        <item t="default"/>
      </items>
    </pivotField>
    <pivotField showAll="0"/>
    <pivotField showAll="0"/>
    <pivotField showAll="0"/>
    <pivotField showAll="0">
      <items count="32">
        <item x="11"/>
        <item x="30"/>
        <item x="3"/>
        <item x="21"/>
        <item x="14"/>
        <item x="8"/>
        <item x="18"/>
        <item x="17"/>
        <item x="4"/>
        <item x="0"/>
        <item x="15"/>
        <item x="1"/>
        <item x="7"/>
        <item x="9"/>
        <item x="6"/>
        <item x="25"/>
        <item x="28"/>
        <item x="22"/>
        <item x="13"/>
        <item x="27"/>
        <item x="2"/>
        <item x="5"/>
        <item x="20"/>
        <item x="10"/>
        <item x="19"/>
        <item x="26"/>
        <item x="16"/>
        <item x="29"/>
        <item x="24"/>
        <item x="12"/>
        <item x="23"/>
        <item t="default"/>
      </items>
    </pivotField>
    <pivotField showAll="0">
      <items count="4">
        <item x="1"/>
        <item x="0"/>
        <item x="2"/>
        <item t="default"/>
      </items>
    </pivotField>
    <pivotField showAll="0"/>
    <pivotField showAll="0">
      <items count="21">
        <item x="18"/>
        <item x="12"/>
        <item x="4"/>
        <item x="16"/>
        <item x="14"/>
        <item x="15"/>
        <item x="0"/>
        <item x="19"/>
        <item x="11"/>
        <item x="7"/>
        <item x="9"/>
        <item x="3"/>
        <item x="10"/>
        <item x="2"/>
        <item x="6"/>
        <item x="17"/>
        <item x="1"/>
        <item x="5"/>
        <item x="1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dragToRow="0" dragToCol="0" dragToPage="0" showAll="0" defaultSubtotal="0"/>
    <pivotField dragToRow="0" dragToCol="0" dragToPage="0" showAll="0" defaultSubtotal="0"/>
  </pivotFields>
  <rowFields count="1">
    <field x="2"/>
  </rowFields>
  <rowItems count="6">
    <i>
      <x/>
    </i>
    <i>
      <x v="1"/>
    </i>
    <i>
      <x v="2"/>
    </i>
    <i>
      <x v="3"/>
    </i>
    <i>
      <x v="4"/>
    </i>
    <i t="grand">
      <x/>
    </i>
  </rowItems>
  <colFields count="1">
    <field x="6"/>
  </colFields>
  <colItems count="5">
    <i>
      <x/>
    </i>
    <i>
      <x v="1"/>
    </i>
    <i>
      <x v="2"/>
    </i>
    <i>
      <x v="3"/>
    </i>
    <i t="grand">
      <x/>
    </i>
  </colItems>
  <dataFields count="1">
    <dataField name="Sum of Sales_Amount" fld="4" baseField="0" baseItem="0"/>
  </dataFields>
  <chartFormats count="8">
    <chartFormat chart="17" format="0" series="1">
      <pivotArea type="data" outline="0" fieldPosition="0">
        <references count="2">
          <reference field="4294967294" count="1" selected="0">
            <x v="0"/>
          </reference>
          <reference field="6" count="1" selected="0">
            <x v="0"/>
          </reference>
        </references>
      </pivotArea>
    </chartFormat>
    <chartFormat chart="17" format="1" series="1">
      <pivotArea type="data" outline="0" fieldPosition="0">
        <references count="2">
          <reference field="4294967294" count="1" selected="0">
            <x v="0"/>
          </reference>
          <reference field="6" count="1" selected="0">
            <x v="1"/>
          </reference>
        </references>
      </pivotArea>
    </chartFormat>
    <chartFormat chart="17" format="2" series="1">
      <pivotArea type="data" outline="0" fieldPosition="0">
        <references count="2">
          <reference field="4294967294" count="1" selected="0">
            <x v="0"/>
          </reference>
          <reference field="6" count="1" selected="0">
            <x v="2"/>
          </reference>
        </references>
      </pivotArea>
    </chartFormat>
    <chartFormat chart="17" format="3" series="1">
      <pivotArea type="data" outline="0" fieldPosition="0">
        <references count="2">
          <reference field="4294967294" count="1" selected="0">
            <x v="0"/>
          </reference>
          <reference field="6" count="1" selected="0">
            <x v="3"/>
          </reference>
        </references>
      </pivotArea>
    </chartFormat>
    <chartFormat chart="20" format="8" series="1">
      <pivotArea type="data" outline="0" fieldPosition="0">
        <references count="2">
          <reference field="4294967294" count="1" selected="0">
            <x v="0"/>
          </reference>
          <reference field="6" count="1" selected="0">
            <x v="0"/>
          </reference>
        </references>
      </pivotArea>
    </chartFormat>
    <chartFormat chart="20" format="9" series="1">
      <pivotArea type="data" outline="0" fieldPosition="0">
        <references count="2">
          <reference field="4294967294" count="1" selected="0">
            <x v="0"/>
          </reference>
          <reference field="6" count="1" selected="0">
            <x v="1"/>
          </reference>
        </references>
      </pivotArea>
    </chartFormat>
    <chartFormat chart="20" format="10" series="1">
      <pivotArea type="data" outline="0" fieldPosition="0">
        <references count="2">
          <reference field="4294967294" count="1" selected="0">
            <x v="0"/>
          </reference>
          <reference field="6" count="1" selected="0">
            <x v="2"/>
          </reference>
        </references>
      </pivotArea>
    </chartFormat>
    <chartFormat chart="20" format="11"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BD697BA-4F38-4501-ABD6-43F5CE47B656}"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7">
  <location ref="A44:B48" firstHeaderRow="1" firstDataRow="1" firstDataCol="1"/>
  <pivotFields count="19">
    <pivotField showAll="0"/>
    <pivotField numFmtId="14" showAll="0">
      <items count="341">
        <item x="58"/>
        <item x="219"/>
        <item x="285"/>
        <item x="21"/>
        <item x="99"/>
        <item x="7"/>
        <item x="212"/>
        <item x="203"/>
        <item x="231"/>
        <item x="69"/>
        <item x="142"/>
        <item x="267"/>
        <item x="73"/>
        <item x="107"/>
        <item x="120"/>
        <item x="271"/>
        <item x="172"/>
        <item x="192"/>
        <item x="191"/>
        <item x="54"/>
        <item x="327"/>
        <item x="320"/>
        <item x="112"/>
        <item x="332"/>
        <item x="170"/>
        <item x="45"/>
        <item x="243"/>
        <item x="157"/>
        <item x="31"/>
        <item x="188"/>
        <item x="323"/>
        <item x="0"/>
        <item x="86"/>
        <item x="33"/>
        <item x="299"/>
        <item x="61"/>
        <item x="118"/>
        <item x="32"/>
        <item x="241"/>
        <item x="5"/>
        <item x="268"/>
        <item x="306"/>
        <item x="248"/>
        <item x="57"/>
        <item x="180"/>
        <item x="331"/>
        <item x="156"/>
        <item x="286"/>
        <item x="225"/>
        <item x="206"/>
        <item x="164"/>
        <item x="302"/>
        <item x="269"/>
        <item x="325"/>
        <item x="229"/>
        <item x="88"/>
        <item x="263"/>
        <item x="42"/>
        <item x="113"/>
        <item x="249"/>
        <item x="284"/>
        <item x="119"/>
        <item x="295"/>
        <item x="83"/>
        <item x="19"/>
        <item x="288"/>
        <item x="260"/>
        <item x="316"/>
        <item x="37"/>
        <item x="85"/>
        <item x="313"/>
        <item x="101"/>
        <item x="324"/>
        <item x="270"/>
        <item x="228"/>
        <item x="218"/>
        <item x="4"/>
        <item x="76"/>
        <item x="215"/>
        <item x="126"/>
        <item x="202"/>
        <item x="210"/>
        <item x="103"/>
        <item x="59"/>
        <item x="154"/>
        <item x="329"/>
        <item x="41"/>
        <item x="25"/>
        <item x="209"/>
        <item x="123"/>
        <item x="238"/>
        <item x="292"/>
        <item x="6"/>
        <item x="265"/>
        <item x="274"/>
        <item x="106"/>
        <item x="297"/>
        <item x="153"/>
        <item x="289"/>
        <item x="264"/>
        <item x="237"/>
        <item x="161"/>
        <item x="1"/>
        <item x="20"/>
        <item x="55"/>
        <item x="194"/>
        <item x="137"/>
        <item x="334"/>
        <item x="167"/>
        <item x="40"/>
        <item x="223"/>
        <item x="211"/>
        <item x="247"/>
        <item x="127"/>
        <item x="298"/>
        <item x="110"/>
        <item x="152"/>
        <item x="173"/>
        <item x="261"/>
        <item x="75"/>
        <item x="198"/>
        <item x="102"/>
        <item x="48"/>
        <item x="39"/>
        <item x="135"/>
        <item x="28"/>
        <item x="71"/>
        <item x="63"/>
        <item x="56"/>
        <item x="149"/>
        <item x="60"/>
        <item x="114"/>
        <item x="190"/>
        <item x="116"/>
        <item x="239"/>
        <item x="216"/>
        <item x="141"/>
        <item x="165"/>
        <item x="16"/>
        <item x="214"/>
        <item x="26"/>
        <item x="115"/>
        <item x="168"/>
        <item x="309"/>
        <item x="179"/>
        <item x="121"/>
        <item x="189"/>
        <item x="130"/>
        <item x="294"/>
        <item x="67"/>
        <item x="201"/>
        <item x="315"/>
        <item x="254"/>
        <item x="98"/>
        <item x="196"/>
        <item x="74"/>
        <item x="305"/>
        <item x="277"/>
        <item x="151"/>
        <item x="72"/>
        <item x="46"/>
        <item x="330"/>
        <item x="193"/>
        <item x="273"/>
        <item x="177"/>
        <item x="68"/>
        <item x="109"/>
        <item x="8"/>
        <item x="253"/>
        <item x="162"/>
        <item x="276"/>
        <item x="134"/>
        <item x="281"/>
        <item x="301"/>
        <item x="255"/>
        <item x="217"/>
        <item x="183"/>
        <item x="246"/>
        <item x="308"/>
        <item x="319"/>
        <item x="251"/>
        <item x="43"/>
        <item x="222"/>
        <item x="125"/>
        <item x="220"/>
        <item x="18"/>
        <item x="272"/>
        <item x="144"/>
        <item x="233"/>
        <item x="166"/>
        <item x="44"/>
        <item x="322"/>
        <item x="333"/>
        <item x="312"/>
        <item x="339"/>
        <item x="328"/>
        <item x="230"/>
        <item x="150"/>
        <item x="187"/>
        <item x="52"/>
        <item x="97"/>
        <item x="159"/>
        <item x="186"/>
        <item x="133"/>
        <item x="262"/>
        <item x="148"/>
        <item x="244"/>
        <item x="36"/>
        <item x="338"/>
        <item x="195"/>
        <item x="34"/>
        <item x="185"/>
        <item x="53"/>
        <item x="11"/>
        <item x="257"/>
        <item x="132"/>
        <item x="14"/>
        <item x="122"/>
        <item x="256"/>
        <item x="314"/>
        <item x="221"/>
        <item x="236"/>
        <item x="3"/>
        <item x="104"/>
        <item x="337"/>
        <item x="208"/>
        <item x="290"/>
        <item x="318"/>
        <item x="30"/>
        <item x="169"/>
        <item x="280"/>
        <item x="234"/>
        <item x="29"/>
        <item x="207"/>
        <item x="259"/>
        <item x="175"/>
        <item x="124"/>
        <item x="205"/>
        <item x="224"/>
        <item x="160"/>
        <item x="311"/>
        <item x="66"/>
        <item x="287"/>
        <item x="70"/>
        <item x="291"/>
        <item x="213"/>
        <item x="2"/>
        <item x="81"/>
        <item x="199"/>
        <item x="91"/>
        <item x="245"/>
        <item x="278"/>
        <item x="93"/>
        <item x="326"/>
        <item x="282"/>
        <item x="80"/>
        <item x="279"/>
        <item x="51"/>
        <item x="17"/>
        <item x="235"/>
        <item x="227"/>
        <item x="232"/>
        <item x="9"/>
        <item x="140"/>
        <item x="300"/>
        <item x="178"/>
        <item x="95"/>
        <item x="155"/>
        <item x="108"/>
        <item x="15"/>
        <item x="96"/>
        <item x="138"/>
        <item x="62"/>
        <item x="129"/>
        <item x="105"/>
        <item x="87"/>
        <item x="158"/>
        <item x="139"/>
        <item x="47"/>
        <item x="275"/>
        <item x="146"/>
        <item x="131"/>
        <item x="304"/>
        <item x="82"/>
        <item x="321"/>
        <item x="252"/>
        <item x="117"/>
        <item x="250"/>
        <item x="27"/>
        <item x="258"/>
        <item x="163"/>
        <item x="310"/>
        <item x="12"/>
        <item x="94"/>
        <item x="335"/>
        <item x="24"/>
        <item x="78"/>
        <item x="10"/>
        <item x="77"/>
        <item x="35"/>
        <item x="204"/>
        <item x="50"/>
        <item x="49"/>
        <item x="184"/>
        <item x="90"/>
        <item x="79"/>
        <item x="128"/>
        <item x="23"/>
        <item x="136"/>
        <item x="65"/>
        <item x="84"/>
        <item x="38"/>
        <item x="303"/>
        <item x="181"/>
        <item x="293"/>
        <item x="100"/>
        <item x="283"/>
        <item x="240"/>
        <item x="182"/>
        <item x="176"/>
        <item x="307"/>
        <item x="145"/>
        <item x="171"/>
        <item x="336"/>
        <item x="89"/>
        <item x="22"/>
        <item x="317"/>
        <item x="111"/>
        <item x="266"/>
        <item x="226"/>
        <item x="64"/>
        <item x="296"/>
        <item x="197"/>
        <item x="143"/>
        <item x="92"/>
        <item x="242"/>
        <item x="147"/>
        <item x="174"/>
        <item x="13"/>
        <item x="200"/>
        <item t="default"/>
      </items>
    </pivotField>
    <pivotField showAll="0"/>
    <pivotField showAll="0">
      <items count="5">
        <item x="3"/>
        <item x="0"/>
        <item x="2"/>
        <item x="1"/>
        <item t="default"/>
      </items>
    </pivotField>
    <pivotField showAll="0"/>
    <pivotField showAll="0"/>
    <pivotField showAll="0">
      <items count="5">
        <item x="2"/>
        <item x="3"/>
        <item x="1"/>
        <item x="0"/>
        <item t="default"/>
      </items>
    </pivotField>
    <pivotField showAll="0"/>
    <pivotField showAll="0"/>
    <pivotField showAll="0"/>
    <pivotField showAll="0"/>
    <pivotField axis="axisRow" dataField="1" showAll="0">
      <items count="4">
        <item x="1"/>
        <item x="0"/>
        <item x="2"/>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 dragToRow="0" dragToCol="0" dragToPage="0" showAll="0" defaultSubtotal="0"/>
    <pivotField dragToRow="0" dragToCol="0" dragToPage="0" showAll="0" defaultSubtotal="0"/>
  </pivotFields>
  <rowFields count="1">
    <field x="11"/>
  </rowFields>
  <rowItems count="4">
    <i>
      <x/>
    </i>
    <i>
      <x v="1"/>
    </i>
    <i>
      <x v="2"/>
    </i>
    <i t="grand">
      <x/>
    </i>
  </rowItems>
  <colItems count="1">
    <i/>
  </colItems>
  <dataFields count="1">
    <dataField name="Count of Payment_Method" fld="11" subtotal="count" baseField="0" baseItem="0"/>
  </dataFields>
  <chartFormats count="8">
    <chartFormat chart="4" format="0"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0"/>
          </reference>
        </references>
      </pivotArea>
    </chartFormat>
    <chartFormat chart="9" format="10">
      <pivotArea type="data" outline="0" fieldPosition="0">
        <references count="2">
          <reference field="4294967294" count="1" selected="0">
            <x v="0"/>
          </reference>
          <reference field="11" count="1" selected="0">
            <x v="0"/>
          </reference>
        </references>
      </pivotArea>
    </chartFormat>
    <chartFormat chart="9" format="11">
      <pivotArea type="data" outline="0" fieldPosition="0">
        <references count="2">
          <reference field="4294967294" count="1" selected="0">
            <x v="0"/>
          </reference>
          <reference field="11" count="1" selected="0">
            <x v="1"/>
          </reference>
        </references>
      </pivotArea>
    </chartFormat>
    <chartFormat chart="9" format="12">
      <pivotArea type="data" outline="0" fieldPosition="0">
        <references count="2">
          <reference field="4294967294" count="1" selected="0">
            <x v="0"/>
          </reference>
          <reference field="11" count="1" selected="0">
            <x v="2"/>
          </reference>
        </references>
      </pivotArea>
    </chartFormat>
    <chartFormat chart="4" format="1">
      <pivotArea type="data" outline="0" fieldPosition="0">
        <references count="2">
          <reference field="4294967294" count="1" selected="0">
            <x v="0"/>
          </reference>
          <reference field="11" count="1" selected="0">
            <x v="0"/>
          </reference>
        </references>
      </pivotArea>
    </chartFormat>
    <chartFormat chart="4" format="2">
      <pivotArea type="data" outline="0" fieldPosition="0">
        <references count="2">
          <reference field="4294967294" count="1" selected="0">
            <x v="0"/>
          </reference>
          <reference field="11" count="1" selected="0">
            <x v="1"/>
          </reference>
        </references>
      </pivotArea>
    </chartFormat>
    <chartFormat chart="4" format="3">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707B3892-BF7D-4BEA-88E9-5D956F31B239}" sourceName="Product_Category">
  <pivotTables>
    <pivotTable tabId="3" name="PivotTable1"/>
    <pivotTable tabId="3" name="PivotTable2"/>
    <pivotTable tabId="3" name="PivotTable3"/>
    <pivotTable tabId="3" name="PivotTable4"/>
    <pivotTable tabId="3" name="PivotTable5"/>
    <pivotTable tabId="3" name="PivotTable6"/>
  </pivotTables>
  <data>
    <tabular pivotCacheId="1477680440">
      <items count="4">
        <i x="2" s="1"/>
        <i x="3"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51D2D02-30F3-4406-9387-820A04989DD4}" sourceName="Region">
  <pivotTables>
    <pivotTable tabId="3" name="PivotTable2"/>
    <pivotTable tabId="3" name="PivotTable1"/>
    <pivotTable tabId="3" name="PivotTable3"/>
    <pivotTable tabId="3" name="PivotTable4"/>
    <pivotTable tabId="3" name="PivotTable5"/>
    <pivotTable tabId="3" name="PivotTable6"/>
  </pivotTables>
  <data>
    <tabular pivotCacheId="1477680440">
      <items count="4">
        <i x="3" s="1"/>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8E1D21BD-EA36-454C-A78B-965A95D98BD4}" sourceName="Payment_Method">
  <pivotTables>
    <pivotTable tabId="3" name="PivotTable5"/>
    <pivotTable tabId="3" name="PivotTable6"/>
  </pivotTables>
  <data>
    <tabular pivotCacheId="1477680440">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Category" xr10:uid="{2D84B216-A79A-4795-8D39-AA9D22A10C81}" cache="Slicer_Product_Category" caption="Product_Category" rowHeight="234950"/>
  <slicer name="Region" xr10:uid="{53C01281-6BFB-4DA9-9C70-BA43EC677400}" cache="Slicer_Region" caption="Region" rowHeight="234950"/>
  <slicer name="Payment_Method" xr10:uid="{2BC7A464-A60A-4DC2-A02F-D27C54427CE9}" cache="Slicer_Payment_Method" caption="Payment_Method"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Category 1" xr10:uid="{B9624AA3-257A-4DBE-B9F9-4B6D1433B6DB}" cache="Slicer_Product_Category" caption="Product_Category" rowHeight="234950"/>
  <slicer name="Region 1" xr10:uid="{98710ECD-1CDB-4661-82CD-DBBD8BB5B71A}" cache="Slicer_Region" caption="Region"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ale_Date" xr10:uid="{95651A02-9428-4E1F-ABB9-268670221ABF}" sourceName="Sale_Date">
  <pivotTables>
    <pivotTable tabId="3" name="PivotTable4"/>
    <pivotTable tabId="3" name="PivotTable1"/>
    <pivotTable tabId="3" name="PivotTable2"/>
    <pivotTable tabId="3" name="PivotTable3"/>
    <pivotTable tabId="3" name="PivotTable5"/>
    <pivotTable tabId="3" name="PivotTable6"/>
  </pivotTables>
  <state minimalRefreshVersion="6" lastRefreshVersion="6" pivotCacheId="1477680440" filterType="unknown">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ale_Date" xr10:uid="{61AA5205-AE59-462B-A9A5-DB6E5F647392}" cache="NativeTimeline_Sale_Date" caption="Sale_Date" level="2" selectionLevel="2" scrollPosition="2023-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ale_Date 1" xr10:uid="{98EEBAD7-E244-4299-B47A-AFC298DE7787}" cache="NativeTimeline_Sale_Date" caption="Sale_Date" level="2" selectionLevel="2" scrollPosition="2023-01-01T00:00:00"/>
</timelines>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11/relationships/timeline" Target="../timelines/timelin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68E66-C625-404A-97B9-A1D2BA7CD4F6}">
  <sheetPr codeName="Sheet1"/>
  <dimension ref="A3:G59"/>
  <sheetViews>
    <sheetView topLeftCell="A21" workbookViewId="0">
      <selection activeCell="B52" sqref="B52"/>
    </sheetView>
  </sheetViews>
  <sheetFormatPr defaultRowHeight="15" x14ac:dyDescent="0.25"/>
  <cols>
    <col min="1" max="1" width="13.140625" bestFit="1" customWidth="1"/>
    <col min="2" max="2" width="20.5703125" bestFit="1" customWidth="1"/>
    <col min="3" max="3" width="16.28515625" bestFit="1" customWidth="1"/>
    <col min="4" max="6" width="11" bestFit="1" customWidth="1"/>
    <col min="7" max="7" width="11.28515625" bestFit="1" customWidth="1"/>
    <col min="8" max="8" width="9.85546875" bestFit="1" customWidth="1"/>
    <col min="9" max="9" width="12.28515625" bestFit="1" customWidth="1"/>
    <col min="10" max="10" width="11.28515625" bestFit="1" customWidth="1"/>
    <col min="11" max="11" width="9.5703125" bestFit="1" customWidth="1"/>
    <col min="12" max="12" width="10.7109375" bestFit="1" customWidth="1"/>
    <col min="13" max="13" width="10" bestFit="1" customWidth="1"/>
    <col min="14" max="14" width="12.42578125" bestFit="1" customWidth="1"/>
    <col min="15" max="15" width="11.42578125" bestFit="1" customWidth="1"/>
    <col min="16" max="16" width="9.7109375" bestFit="1" customWidth="1"/>
    <col min="17" max="17" width="9.85546875" bestFit="1" customWidth="1"/>
    <col min="18" max="18" width="9.28515625" bestFit="1" customWidth="1"/>
    <col min="19" max="19" width="11.7109375" bestFit="1" customWidth="1"/>
    <col min="20" max="20" width="10.7109375" bestFit="1" customWidth="1"/>
    <col min="22" max="22" width="10.7109375" bestFit="1" customWidth="1"/>
    <col min="23" max="23" width="8.42578125" bestFit="1" customWidth="1"/>
    <col min="24" max="24" width="10.85546875" bestFit="1" customWidth="1"/>
    <col min="25" max="25" width="9.85546875" bestFit="1" customWidth="1"/>
    <col min="26" max="26" width="8.140625" bestFit="1" customWidth="1"/>
    <col min="27" max="27" width="10.5703125" bestFit="1" customWidth="1"/>
    <col min="28" max="28" width="9.85546875" bestFit="1" customWidth="1"/>
    <col min="29" max="29" width="12.28515625" bestFit="1" customWidth="1"/>
    <col min="30" max="30" width="11.28515625" bestFit="1" customWidth="1"/>
    <col min="31" max="31" width="9.5703125" bestFit="1" customWidth="1"/>
    <col min="32" max="32" width="10.7109375" bestFit="1" customWidth="1"/>
    <col min="33" max="33" width="10" bestFit="1" customWidth="1"/>
    <col min="34" max="34" width="12.42578125" bestFit="1" customWidth="1"/>
    <col min="35" max="35" width="11.42578125" bestFit="1" customWidth="1"/>
    <col min="36" max="36" width="9.7109375" bestFit="1" customWidth="1"/>
    <col min="37" max="37" width="9.85546875" bestFit="1" customWidth="1"/>
    <col min="38" max="38" width="9.28515625" bestFit="1" customWidth="1"/>
    <col min="39" max="39" width="11.7109375" bestFit="1" customWidth="1"/>
    <col min="40" max="40" width="10.7109375" bestFit="1" customWidth="1"/>
    <col min="42" max="42" width="25.85546875" bestFit="1" customWidth="1"/>
    <col min="43" max="43" width="27.140625" bestFit="1" customWidth="1"/>
  </cols>
  <sheetData>
    <row r="3" spans="1:6" x14ac:dyDescent="0.25">
      <c r="A3" s="3" t="s">
        <v>54</v>
      </c>
      <c r="B3" t="s">
        <v>56</v>
      </c>
    </row>
    <row r="4" spans="1:6" x14ac:dyDescent="0.25">
      <c r="A4" s="4" t="s">
        <v>29</v>
      </c>
      <c r="B4">
        <v>1313474.3599999999</v>
      </c>
    </row>
    <row r="5" spans="1:6" x14ac:dyDescent="0.25">
      <c r="A5" s="4" t="s">
        <v>35</v>
      </c>
      <c r="B5">
        <v>1243499.6400000006</v>
      </c>
    </row>
    <row r="6" spans="1:6" x14ac:dyDescent="0.25">
      <c r="A6" s="4" t="s">
        <v>26</v>
      </c>
      <c r="B6">
        <v>1201773.5399999998</v>
      </c>
    </row>
    <row r="7" spans="1:6" x14ac:dyDescent="0.25">
      <c r="A7" s="4" t="s">
        <v>16</v>
      </c>
      <c r="B7">
        <v>1260517.6900000002</v>
      </c>
    </row>
    <row r="8" spans="1:6" x14ac:dyDescent="0.25">
      <c r="A8" s="4" t="s">
        <v>55</v>
      </c>
      <c r="B8">
        <v>5019265.2300000004</v>
      </c>
    </row>
    <row r="11" spans="1:6" x14ac:dyDescent="0.25">
      <c r="A11" s="3" t="s">
        <v>56</v>
      </c>
      <c r="B11" s="3" t="s">
        <v>57</v>
      </c>
    </row>
    <row r="12" spans="1:6" x14ac:dyDescent="0.25">
      <c r="A12" s="3" t="s">
        <v>54</v>
      </c>
      <c r="B12" t="s">
        <v>29</v>
      </c>
      <c r="C12" t="s">
        <v>35</v>
      </c>
      <c r="D12" t="s">
        <v>26</v>
      </c>
      <c r="E12" t="s">
        <v>16</v>
      </c>
      <c r="F12" t="s">
        <v>55</v>
      </c>
    </row>
    <row r="13" spans="1:6" x14ac:dyDescent="0.25">
      <c r="A13" s="4" t="s">
        <v>34</v>
      </c>
      <c r="B13">
        <v>356670.40000000008</v>
      </c>
      <c r="C13">
        <v>303101.42</v>
      </c>
      <c r="D13">
        <v>325864.87</v>
      </c>
      <c r="E13">
        <v>274156.24</v>
      </c>
      <c r="F13">
        <v>1259792.9300000002</v>
      </c>
    </row>
    <row r="14" spans="1:6" x14ac:dyDescent="0.25">
      <c r="A14" s="4" t="s">
        <v>15</v>
      </c>
      <c r="B14">
        <v>372977.22</v>
      </c>
      <c r="C14">
        <v>342666.29000000015</v>
      </c>
      <c r="D14">
        <v>258985.65</v>
      </c>
      <c r="E14">
        <v>394983.35</v>
      </c>
      <c r="F14">
        <v>1369612.5100000002</v>
      </c>
    </row>
    <row r="15" spans="1:6" x14ac:dyDescent="0.25">
      <c r="A15" s="4" t="s">
        <v>25</v>
      </c>
      <c r="B15">
        <v>269517.74</v>
      </c>
      <c r="C15">
        <v>293663.96000000002</v>
      </c>
      <c r="D15">
        <v>301187.51</v>
      </c>
      <c r="E15">
        <v>289881.65000000008</v>
      </c>
      <c r="F15">
        <v>1154250.8600000001</v>
      </c>
    </row>
    <row r="16" spans="1:6" x14ac:dyDescent="0.25">
      <c r="A16" s="4" t="s">
        <v>21</v>
      </c>
      <c r="B16">
        <v>314309.00000000006</v>
      </c>
      <c r="C16">
        <v>304067.97000000003</v>
      </c>
      <c r="D16">
        <v>315735.50999999995</v>
      </c>
      <c r="E16">
        <v>301496.45</v>
      </c>
      <c r="F16">
        <v>1235608.93</v>
      </c>
    </row>
    <row r="17" spans="1:6" x14ac:dyDescent="0.25">
      <c r="A17" s="4" t="s">
        <v>55</v>
      </c>
      <c r="B17">
        <v>1313474.3600000001</v>
      </c>
      <c r="C17">
        <v>1243499.6400000001</v>
      </c>
      <c r="D17">
        <v>1201773.54</v>
      </c>
      <c r="E17">
        <v>1260517.69</v>
      </c>
      <c r="F17">
        <v>5019265.2300000004</v>
      </c>
    </row>
    <row r="19" spans="1:6" x14ac:dyDescent="0.25">
      <c r="A19" s="3" t="s">
        <v>54</v>
      </c>
      <c r="B19" t="s">
        <v>58</v>
      </c>
    </row>
    <row r="20" spans="1:6" x14ac:dyDescent="0.25">
      <c r="A20" s="4" t="s">
        <v>29</v>
      </c>
      <c r="B20">
        <v>268</v>
      </c>
    </row>
    <row r="21" spans="1:6" x14ac:dyDescent="0.25">
      <c r="A21" s="4" t="s">
        <v>35</v>
      </c>
      <c r="B21">
        <v>246</v>
      </c>
    </row>
    <row r="22" spans="1:6" x14ac:dyDescent="0.25">
      <c r="A22" s="4" t="s">
        <v>26</v>
      </c>
      <c r="B22">
        <v>226</v>
      </c>
    </row>
    <row r="23" spans="1:6" x14ac:dyDescent="0.25">
      <c r="A23" s="4" t="s">
        <v>16</v>
      </c>
      <c r="B23">
        <v>260</v>
      </c>
    </row>
    <row r="24" spans="1:6" x14ac:dyDescent="0.25">
      <c r="A24" s="4" t="s">
        <v>55</v>
      </c>
      <c r="B24">
        <v>1000</v>
      </c>
    </row>
    <row r="27" spans="1:6" x14ac:dyDescent="0.25">
      <c r="A27" s="3" t="s">
        <v>54</v>
      </c>
      <c r="B27" t="s">
        <v>56</v>
      </c>
    </row>
    <row r="28" spans="1:6" x14ac:dyDescent="0.25">
      <c r="A28" s="4" t="s">
        <v>59</v>
      </c>
      <c r="B28">
        <v>495420.37000000011</v>
      </c>
    </row>
    <row r="29" spans="1:6" x14ac:dyDescent="0.25">
      <c r="A29" s="4" t="s">
        <v>60</v>
      </c>
      <c r="B29">
        <v>368919.35999999993</v>
      </c>
    </row>
    <row r="30" spans="1:6" x14ac:dyDescent="0.25">
      <c r="A30" s="4" t="s">
        <v>61</v>
      </c>
      <c r="B30">
        <v>402638.77000000008</v>
      </c>
    </row>
    <row r="31" spans="1:6" x14ac:dyDescent="0.25">
      <c r="A31" s="4" t="s">
        <v>114</v>
      </c>
      <c r="B31">
        <v>438992.61000000004</v>
      </c>
    </row>
    <row r="32" spans="1:6" x14ac:dyDescent="0.25">
      <c r="A32" s="4" t="s">
        <v>115</v>
      </c>
      <c r="B32">
        <v>389078.75999999989</v>
      </c>
    </row>
    <row r="33" spans="1:2" x14ac:dyDescent="0.25">
      <c r="A33" s="4" t="s">
        <v>116</v>
      </c>
      <c r="B33">
        <v>418458.34000000008</v>
      </c>
    </row>
    <row r="34" spans="1:2" x14ac:dyDescent="0.25">
      <c r="A34" s="4" t="s">
        <v>117</v>
      </c>
      <c r="B34">
        <v>374242.88</v>
      </c>
    </row>
    <row r="35" spans="1:2" x14ac:dyDescent="0.25">
      <c r="A35" s="4" t="s">
        <v>118</v>
      </c>
      <c r="B35">
        <v>443171.28</v>
      </c>
    </row>
    <row r="36" spans="1:2" x14ac:dyDescent="0.25">
      <c r="A36" s="4" t="s">
        <v>119</v>
      </c>
      <c r="B36">
        <v>367837.60000000003</v>
      </c>
    </row>
    <row r="37" spans="1:2" x14ac:dyDescent="0.25">
      <c r="A37" s="4" t="s">
        <v>120</v>
      </c>
      <c r="B37">
        <v>460378.78000000014</v>
      </c>
    </row>
    <row r="38" spans="1:2" x14ac:dyDescent="0.25">
      <c r="A38" s="4" t="s">
        <v>121</v>
      </c>
      <c r="B38">
        <v>467482.89999999985</v>
      </c>
    </row>
    <row r="39" spans="1:2" x14ac:dyDescent="0.25">
      <c r="A39" s="4" t="s">
        <v>122</v>
      </c>
      <c r="B39">
        <v>392643.57999999984</v>
      </c>
    </row>
    <row r="40" spans="1:2" x14ac:dyDescent="0.25">
      <c r="A40" s="4" t="s">
        <v>55</v>
      </c>
      <c r="B40">
        <v>5019265.2300000004</v>
      </c>
    </row>
    <row r="44" spans="1:2" x14ac:dyDescent="0.25">
      <c r="A44" s="3" t="s">
        <v>54</v>
      </c>
      <c r="B44" t="s">
        <v>62</v>
      </c>
    </row>
    <row r="45" spans="1:2" x14ac:dyDescent="0.25">
      <c r="A45" s="4" t="s">
        <v>27</v>
      </c>
      <c r="B45">
        <v>342</v>
      </c>
    </row>
    <row r="46" spans="1:2" x14ac:dyDescent="0.25">
      <c r="A46" s="4" t="s">
        <v>18</v>
      </c>
      <c r="B46">
        <v>313</v>
      </c>
    </row>
    <row r="47" spans="1:2" x14ac:dyDescent="0.25">
      <c r="A47" s="4" t="s">
        <v>31</v>
      </c>
      <c r="B47">
        <v>345</v>
      </c>
    </row>
    <row r="48" spans="1:2" x14ac:dyDescent="0.25">
      <c r="A48" s="4" t="s">
        <v>55</v>
      </c>
      <c r="B48">
        <v>1000</v>
      </c>
    </row>
    <row r="52" spans="2:7" x14ac:dyDescent="0.25">
      <c r="B52" s="3" t="s">
        <v>56</v>
      </c>
      <c r="C52" s="3" t="s">
        <v>57</v>
      </c>
    </row>
    <row r="53" spans="2:7" x14ac:dyDescent="0.25">
      <c r="B53" s="3" t="s">
        <v>54</v>
      </c>
      <c r="C53" t="s">
        <v>29</v>
      </c>
      <c r="D53" t="s">
        <v>35</v>
      </c>
      <c r="E53" t="s">
        <v>26</v>
      </c>
      <c r="F53" t="s">
        <v>16</v>
      </c>
      <c r="G53" t="s">
        <v>55</v>
      </c>
    </row>
    <row r="54" spans="2:7" x14ac:dyDescent="0.25">
      <c r="B54" s="4" t="s">
        <v>42</v>
      </c>
      <c r="C54">
        <v>235269.91000000003</v>
      </c>
      <c r="D54">
        <v>262316.28999999992</v>
      </c>
      <c r="E54">
        <v>226832.15999999997</v>
      </c>
      <c r="F54">
        <v>241123.41</v>
      </c>
      <c r="G54">
        <v>965541.7699999999</v>
      </c>
    </row>
    <row r="55" spans="2:7" x14ac:dyDescent="0.25">
      <c r="B55" s="4" t="s">
        <v>14</v>
      </c>
      <c r="C55">
        <v>254984.62000000002</v>
      </c>
      <c r="D55">
        <v>248596.33999999997</v>
      </c>
      <c r="E55">
        <v>312988.52</v>
      </c>
      <c r="F55">
        <v>264421.14999999997</v>
      </c>
      <c r="G55">
        <v>1080990.6299999999</v>
      </c>
    </row>
    <row r="56" spans="2:7" x14ac:dyDescent="0.25">
      <c r="B56" s="4" t="s">
        <v>33</v>
      </c>
      <c r="C56">
        <v>243329.67000000007</v>
      </c>
      <c r="D56">
        <v>214363.09</v>
      </c>
      <c r="E56">
        <v>182441.71000000002</v>
      </c>
      <c r="F56">
        <v>220677.01000000004</v>
      </c>
      <c r="G56">
        <v>860811.4800000001</v>
      </c>
    </row>
    <row r="57" spans="2:7" x14ac:dyDescent="0.25">
      <c r="B57" s="4" t="s">
        <v>24</v>
      </c>
      <c r="C57">
        <v>318184.84000000003</v>
      </c>
      <c r="D57">
        <v>240443.35999999993</v>
      </c>
      <c r="E57">
        <v>281658.52999999991</v>
      </c>
      <c r="F57">
        <v>301450.63000000006</v>
      </c>
      <c r="G57">
        <v>1141737.3599999999</v>
      </c>
    </row>
    <row r="58" spans="2:7" x14ac:dyDescent="0.25">
      <c r="B58" s="4" t="s">
        <v>38</v>
      </c>
      <c r="C58">
        <v>261705.32000000004</v>
      </c>
      <c r="D58">
        <v>277780.56000000011</v>
      </c>
      <c r="E58">
        <v>197852.62</v>
      </c>
      <c r="F58">
        <v>232845.49000000008</v>
      </c>
      <c r="G58">
        <v>970183.99000000022</v>
      </c>
    </row>
    <row r="59" spans="2:7" x14ac:dyDescent="0.25">
      <c r="B59" s="4" t="s">
        <v>55</v>
      </c>
      <c r="C59">
        <v>1313474.3600000001</v>
      </c>
      <c r="D59">
        <v>1243499.6399999999</v>
      </c>
      <c r="E59">
        <v>1201773.5399999998</v>
      </c>
      <c r="F59">
        <v>1260517.69</v>
      </c>
      <c r="G59">
        <v>5019265.2300000004</v>
      </c>
    </row>
  </sheetData>
  <pageMargins left="0.7" right="0.7" top="0.75" bottom="0.75" header="0.3" footer="0.3"/>
  <drawing r:id="rId7"/>
  <extLst>
    <ext xmlns:x14="http://schemas.microsoft.com/office/spreadsheetml/2009/9/main" uri="{A8765BA9-456A-4dab-B4F3-ACF838C121DE}">
      <x14:slicerList>
        <x14:slicer r:id="rId8"/>
      </x14:slicerList>
    </ext>
    <ext xmlns:x15="http://schemas.microsoft.com/office/spreadsheetml/2010/11/main" uri="{7E03D99C-DC04-49d9-9315-930204A7B6E9}">
      <x15:timelineRefs>
        <x15:timelineRef r:id="rId9"/>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FF4BB-700A-49AD-A30F-62858247D7C3}">
  <sheetPr codeName="Sheet2"/>
  <dimension ref="A1:AH1001"/>
  <sheetViews>
    <sheetView tabSelected="1" topLeftCell="F1" workbookViewId="0">
      <selection activeCell="S19" sqref="S19"/>
    </sheetView>
  </sheetViews>
  <sheetFormatPr defaultRowHeight="15" x14ac:dyDescent="0.25"/>
  <cols>
    <col min="2" max="2" width="10.28515625" bestFit="1" customWidth="1"/>
    <col min="22" max="22" width="10.28515625" customWidth="1"/>
  </cols>
  <sheetData>
    <row r="1" spans="1:34" x14ac:dyDescent="0.25">
      <c r="A1" s="19" t="s">
        <v>0</v>
      </c>
      <c r="B1" s="19" t="s">
        <v>1</v>
      </c>
      <c r="C1" s="19" t="s">
        <v>2</v>
      </c>
      <c r="D1" s="19" t="s">
        <v>3</v>
      </c>
      <c r="E1" s="19" t="s">
        <v>4</v>
      </c>
      <c r="F1" s="19" t="s">
        <v>5</v>
      </c>
      <c r="G1" s="19" t="s">
        <v>6</v>
      </c>
      <c r="H1" s="19" t="s">
        <v>7</v>
      </c>
      <c r="I1" s="19" t="s">
        <v>8</v>
      </c>
      <c r="J1" s="19" t="s">
        <v>9</v>
      </c>
      <c r="K1" s="19" t="s">
        <v>10</v>
      </c>
      <c r="L1" s="19" t="s">
        <v>11</v>
      </c>
      <c r="M1" s="19" t="s">
        <v>12</v>
      </c>
      <c r="N1" s="19" t="s">
        <v>13</v>
      </c>
      <c r="O1" s="19"/>
      <c r="P1" s="18"/>
      <c r="U1" s="19" t="s">
        <v>0</v>
      </c>
      <c r="V1" s="19" t="s">
        <v>1</v>
      </c>
      <c r="W1" s="19" t="s">
        <v>2</v>
      </c>
      <c r="X1" s="19" t="s">
        <v>3</v>
      </c>
      <c r="Y1" s="19" t="s">
        <v>4</v>
      </c>
      <c r="Z1" s="19" t="s">
        <v>5</v>
      </c>
      <c r="AA1" s="19" t="s">
        <v>6</v>
      </c>
      <c r="AB1" s="19" t="s">
        <v>7</v>
      </c>
      <c r="AC1" s="19" t="s">
        <v>8</v>
      </c>
      <c r="AD1" s="19" t="s">
        <v>9</v>
      </c>
      <c r="AE1" s="19" t="s">
        <v>10</v>
      </c>
      <c r="AF1" s="19" t="s">
        <v>11</v>
      </c>
      <c r="AG1" s="19" t="s">
        <v>12</v>
      </c>
      <c r="AH1" s="18"/>
    </row>
    <row r="2" spans="1:34" x14ac:dyDescent="0.25">
      <c r="A2" s="9">
        <v>1052</v>
      </c>
      <c r="B2" s="20">
        <v>44960</v>
      </c>
      <c r="C2" s="9" t="s">
        <v>14</v>
      </c>
      <c r="D2" s="9" t="s">
        <v>15</v>
      </c>
      <c r="E2" s="9">
        <v>5053.97</v>
      </c>
      <c r="F2" s="9">
        <v>18</v>
      </c>
      <c r="G2" s="9" t="s">
        <v>16</v>
      </c>
      <c r="H2" s="9">
        <v>152.75</v>
      </c>
      <c r="I2" s="9">
        <v>267.22000000000003</v>
      </c>
      <c r="J2" s="9" t="s">
        <v>17</v>
      </c>
      <c r="K2" s="9">
        <v>0.09</v>
      </c>
      <c r="L2" s="9" t="s">
        <v>18</v>
      </c>
      <c r="M2" s="9" t="s">
        <v>19</v>
      </c>
      <c r="N2" s="9" t="s">
        <v>20</v>
      </c>
      <c r="O2" s="9"/>
      <c r="Q2" t="s">
        <v>63</v>
      </c>
      <c r="R2" t="s">
        <v>64</v>
      </c>
      <c r="U2" s="21">
        <v>1052</v>
      </c>
      <c r="V2" s="20">
        <v>44960</v>
      </c>
      <c r="W2" s="9" t="s">
        <v>14</v>
      </c>
      <c r="X2" s="9" t="s">
        <v>15</v>
      </c>
      <c r="Y2" s="9">
        <v>5053.97</v>
      </c>
      <c r="Z2" s="9">
        <v>18</v>
      </c>
      <c r="AA2" s="9" t="s">
        <v>16</v>
      </c>
      <c r="AB2" s="9">
        <v>152.75</v>
      </c>
      <c r="AC2" s="9">
        <v>267.22000000000003</v>
      </c>
      <c r="AD2" s="9" t="s">
        <v>17</v>
      </c>
      <c r="AE2" s="9">
        <v>0.09</v>
      </c>
      <c r="AF2" s="9" t="s">
        <v>18</v>
      </c>
      <c r="AG2" s="9" t="s">
        <v>19</v>
      </c>
    </row>
    <row r="3" spans="1:34" x14ac:dyDescent="0.25">
      <c r="A3" s="9">
        <v>1093</v>
      </c>
      <c r="B3" s="20">
        <v>45037</v>
      </c>
      <c r="C3" s="9" t="s">
        <v>14</v>
      </c>
      <c r="D3" s="9" t="s">
        <v>21</v>
      </c>
      <c r="E3" s="9">
        <v>4384.0200000000004</v>
      </c>
      <c r="F3" s="9">
        <v>17</v>
      </c>
      <c r="G3" s="9" t="s">
        <v>16</v>
      </c>
      <c r="H3" s="9">
        <v>3816.39</v>
      </c>
      <c r="I3" s="9">
        <v>4209.4399999999996</v>
      </c>
      <c r="J3" s="9" t="s">
        <v>17</v>
      </c>
      <c r="K3" s="9">
        <v>0.11</v>
      </c>
      <c r="L3" s="9" t="s">
        <v>18</v>
      </c>
      <c r="M3" s="9" t="s">
        <v>22</v>
      </c>
      <c r="N3" s="9" t="s">
        <v>23</v>
      </c>
      <c r="O3" s="9"/>
      <c r="U3" s="21">
        <v>1093</v>
      </c>
      <c r="V3" s="20">
        <v>45037</v>
      </c>
      <c r="W3" s="9" t="s">
        <v>14</v>
      </c>
      <c r="X3" s="9" t="s">
        <v>21</v>
      </c>
      <c r="Y3" s="9">
        <v>4384.0200000000004</v>
      </c>
      <c r="Z3" s="9">
        <v>17</v>
      </c>
      <c r="AA3" s="9" t="s">
        <v>16</v>
      </c>
      <c r="AB3" s="9">
        <v>3816.39</v>
      </c>
      <c r="AC3" s="9">
        <v>4209.4399999999996</v>
      </c>
      <c r="AD3" s="9" t="s">
        <v>17</v>
      </c>
      <c r="AE3" s="9">
        <v>0.11</v>
      </c>
      <c r="AF3" s="9" t="s">
        <v>18</v>
      </c>
      <c r="AG3" s="9" t="s">
        <v>22</v>
      </c>
    </row>
    <row r="4" spans="1:34" x14ac:dyDescent="0.25">
      <c r="A4" s="9">
        <v>1015</v>
      </c>
      <c r="B4" s="20">
        <v>45190</v>
      </c>
      <c r="C4" s="9" t="s">
        <v>24</v>
      </c>
      <c r="D4" s="9" t="s">
        <v>25</v>
      </c>
      <c r="E4" s="9">
        <v>4631.2299999999996</v>
      </c>
      <c r="F4" s="9">
        <v>30</v>
      </c>
      <c r="G4" s="9" t="s">
        <v>26</v>
      </c>
      <c r="H4" s="9">
        <v>261.56</v>
      </c>
      <c r="I4" s="9">
        <v>371.4</v>
      </c>
      <c r="J4" s="9" t="s">
        <v>17</v>
      </c>
      <c r="K4" s="9">
        <v>0.2</v>
      </c>
      <c r="L4" s="9" t="s">
        <v>27</v>
      </c>
      <c r="M4" s="9" t="s">
        <v>22</v>
      </c>
      <c r="N4" s="9" t="s">
        <v>28</v>
      </c>
      <c r="O4" s="9"/>
      <c r="U4" s="21">
        <v>1015</v>
      </c>
      <c r="V4" s="20">
        <v>45190</v>
      </c>
      <c r="W4" s="9" t="s">
        <v>24</v>
      </c>
      <c r="X4" s="9" t="s">
        <v>25</v>
      </c>
      <c r="Y4" s="9">
        <v>4631.2299999999996</v>
      </c>
      <c r="Z4" s="9">
        <v>30</v>
      </c>
      <c r="AA4" s="9" t="s">
        <v>26</v>
      </c>
      <c r="AB4" s="9">
        <v>261.56</v>
      </c>
      <c r="AC4" s="9">
        <v>371.4</v>
      </c>
      <c r="AD4" s="9" t="s">
        <v>17</v>
      </c>
      <c r="AE4" s="9">
        <v>0.2</v>
      </c>
      <c r="AF4" s="9" t="s">
        <v>27</v>
      </c>
      <c r="AG4" s="9" t="s">
        <v>22</v>
      </c>
    </row>
    <row r="5" spans="1:34" x14ac:dyDescent="0.25">
      <c r="A5" s="9">
        <v>1072</v>
      </c>
      <c r="B5" s="20">
        <v>45162</v>
      </c>
      <c r="C5" s="9" t="s">
        <v>14</v>
      </c>
      <c r="D5" s="9" t="s">
        <v>25</v>
      </c>
      <c r="E5" s="9">
        <v>2167.94</v>
      </c>
      <c r="F5" s="9">
        <v>39</v>
      </c>
      <c r="G5" s="9" t="s">
        <v>29</v>
      </c>
      <c r="H5" s="9">
        <v>4330.03</v>
      </c>
      <c r="I5" s="9">
        <v>4467.75</v>
      </c>
      <c r="J5" s="9" t="s">
        <v>30</v>
      </c>
      <c r="K5" s="9">
        <v>0.02</v>
      </c>
      <c r="L5" s="9" t="s">
        <v>31</v>
      </c>
      <c r="M5" s="9" t="s">
        <v>22</v>
      </c>
      <c r="N5" s="9" t="s">
        <v>32</v>
      </c>
      <c r="O5" s="9"/>
      <c r="U5" s="21">
        <v>1072</v>
      </c>
      <c r="V5" s="20">
        <v>45162</v>
      </c>
      <c r="W5" s="9" t="s">
        <v>14</v>
      </c>
      <c r="X5" s="9" t="s">
        <v>25</v>
      </c>
      <c r="Y5" s="9">
        <v>2167.94</v>
      </c>
      <c r="Z5" s="9">
        <v>39</v>
      </c>
      <c r="AA5" s="9" t="s">
        <v>29</v>
      </c>
      <c r="AB5" s="9">
        <v>4330.03</v>
      </c>
      <c r="AC5" s="9">
        <v>4467.75</v>
      </c>
      <c r="AD5" s="9" t="s">
        <v>30</v>
      </c>
      <c r="AE5" s="9">
        <v>0.02</v>
      </c>
      <c r="AF5" s="9" t="s">
        <v>31</v>
      </c>
      <c r="AG5" s="9" t="s">
        <v>22</v>
      </c>
    </row>
    <row r="6" spans="1:34" x14ac:dyDescent="0.25">
      <c r="A6" s="9">
        <v>1061</v>
      </c>
      <c r="B6" s="20">
        <v>45009</v>
      </c>
      <c r="C6" s="9" t="s">
        <v>33</v>
      </c>
      <c r="D6" s="9" t="s">
        <v>34</v>
      </c>
      <c r="E6" s="9">
        <v>3750.2</v>
      </c>
      <c r="F6" s="9">
        <v>13</v>
      </c>
      <c r="G6" s="9" t="s">
        <v>35</v>
      </c>
      <c r="H6" s="9">
        <v>637.37</v>
      </c>
      <c r="I6" s="9">
        <v>692.71</v>
      </c>
      <c r="J6" s="9" t="s">
        <v>30</v>
      </c>
      <c r="K6" s="9">
        <v>0.08</v>
      </c>
      <c r="L6" s="9" t="s">
        <v>31</v>
      </c>
      <c r="M6" s="9" t="s">
        <v>19</v>
      </c>
      <c r="N6" s="9" t="s">
        <v>36</v>
      </c>
      <c r="O6" s="9"/>
      <c r="U6" s="21">
        <v>1061</v>
      </c>
      <c r="V6" s="20">
        <v>45009</v>
      </c>
      <c r="W6" s="9" t="s">
        <v>33</v>
      </c>
      <c r="X6" s="9" t="s">
        <v>34</v>
      </c>
      <c r="Y6" s="9">
        <v>3750.2</v>
      </c>
      <c r="Z6" s="9">
        <v>13</v>
      </c>
      <c r="AA6" s="9" t="s">
        <v>35</v>
      </c>
      <c r="AB6" s="9">
        <v>637.37</v>
      </c>
      <c r="AC6" s="9">
        <v>692.71</v>
      </c>
      <c r="AD6" s="9" t="s">
        <v>30</v>
      </c>
      <c r="AE6" s="9">
        <v>0.08</v>
      </c>
      <c r="AF6" s="9" t="s">
        <v>31</v>
      </c>
      <c r="AG6" s="9" t="s">
        <v>19</v>
      </c>
    </row>
    <row r="7" spans="1:34" x14ac:dyDescent="0.25">
      <c r="A7" s="9">
        <v>1021</v>
      </c>
      <c r="B7" s="20">
        <v>44968</v>
      </c>
      <c r="C7" s="9" t="s">
        <v>33</v>
      </c>
      <c r="D7" s="9" t="s">
        <v>21</v>
      </c>
      <c r="E7" s="9">
        <v>3761.15</v>
      </c>
      <c r="F7" s="9">
        <v>32</v>
      </c>
      <c r="G7" s="9" t="s">
        <v>26</v>
      </c>
      <c r="H7" s="9">
        <v>900.79</v>
      </c>
      <c r="I7" s="9">
        <v>1106.51</v>
      </c>
      <c r="J7" s="9" t="s">
        <v>30</v>
      </c>
      <c r="K7" s="9">
        <v>0.21</v>
      </c>
      <c r="L7" s="9" t="s">
        <v>18</v>
      </c>
      <c r="M7" s="9" t="s">
        <v>19</v>
      </c>
      <c r="N7" s="9" t="s">
        <v>37</v>
      </c>
      <c r="O7" s="9"/>
      <c r="U7" s="21">
        <v>1021</v>
      </c>
      <c r="V7" s="20">
        <v>44968</v>
      </c>
      <c r="W7" s="9" t="s">
        <v>33</v>
      </c>
      <c r="X7" s="9" t="s">
        <v>21</v>
      </c>
      <c r="Y7" s="9">
        <v>3761.15</v>
      </c>
      <c r="Z7" s="9">
        <v>32</v>
      </c>
      <c r="AA7" s="9" t="s">
        <v>26</v>
      </c>
      <c r="AB7" s="9">
        <v>900.79</v>
      </c>
      <c r="AC7" s="9">
        <v>1106.51</v>
      </c>
      <c r="AD7" s="9" t="s">
        <v>30</v>
      </c>
      <c r="AE7" s="9">
        <v>0.21</v>
      </c>
      <c r="AF7" s="9" t="s">
        <v>18</v>
      </c>
      <c r="AG7" s="9" t="s">
        <v>19</v>
      </c>
    </row>
    <row r="8" spans="1:34" x14ac:dyDescent="0.25">
      <c r="A8" s="9">
        <v>1083</v>
      </c>
      <c r="B8" s="20">
        <v>45027</v>
      </c>
      <c r="C8" s="9" t="s">
        <v>14</v>
      </c>
      <c r="D8" s="9" t="s">
        <v>21</v>
      </c>
      <c r="E8" s="9">
        <v>618.30999999999995</v>
      </c>
      <c r="F8" s="9">
        <v>29</v>
      </c>
      <c r="G8" s="9" t="s">
        <v>16</v>
      </c>
      <c r="H8" s="9">
        <v>2408.81</v>
      </c>
      <c r="I8" s="9">
        <v>2624.09</v>
      </c>
      <c r="J8" s="9" t="s">
        <v>17</v>
      </c>
      <c r="K8" s="9">
        <v>0.14000000000000001</v>
      </c>
      <c r="L8" s="9" t="s">
        <v>18</v>
      </c>
      <c r="M8" s="9" t="s">
        <v>19</v>
      </c>
      <c r="N8" s="9" t="s">
        <v>23</v>
      </c>
      <c r="O8" s="9"/>
      <c r="U8" s="21">
        <v>1083</v>
      </c>
      <c r="V8" s="20">
        <v>45027</v>
      </c>
      <c r="W8" s="9" t="s">
        <v>14</v>
      </c>
      <c r="X8" s="9" t="s">
        <v>21</v>
      </c>
      <c r="Y8" s="9">
        <v>618.30999999999995</v>
      </c>
      <c r="Z8" s="9">
        <v>29</v>
      </c>
      <c r="AA8" s="9" t="s">
        <v>16</v>
      </c>
      <c r="AB8" s="9">
        <v>2408.81</v>
      </c>
      <c r="AC8" s="9">
        <v>2624.09</v>
      </c>
      <c r="AD8" s="9" t="s">
        <v>17</v>
      </c>
      <c r="AE8" s="9">
        <v>0.14000000000000001</v>
      </c>
      <c r="AF8" s="9" t="s">
        <v>18</v>
      </c>
      <c r="AG8" s="9" t="s">
        <v>19</v>
      </c>
    </row>
    <row r="9" spans="1:34" x14ac:dyDescent="0.25">
      <c r="A9" s="9">
        <v>1087</v>
      </c>
      <c r="B9" s="20">
        <v>44932</v>
      </c>
      <c r="C9" s="9" t="s">
        <v>38</v>
      </c>
      <c r="D9" s="9" t="s">
        <v>25</v>
      </c>
      <c r="E9" s="9">
        <v>7698.92</v>
      </c>
      <c r="F9" s="9">
        <v>46</v>
      </c>
      <c r="G9" s="9" t="s">
        <v>16</v>
      </c>
      <c r="H9" s="9">
        <v>3702.51</v>
      </c>
      <c r="I9" s="9">
        <v>3964.65</v>
      </c>
      <c r="J9" s="9" t="s">
        <v>30</v>
      </c>
      <c r="K9" s="9">
        <v>0.12</v>
      </c>
      <c r="L9" s="9" t="s">
        <v>27</v>
      </c>
      <c r="M9" s="9" t="s">
        <v>19</v>
      </c>
      <c r="N9" s="9" t="s">
        <v>39</v>
      </c>
      <c r="O9" s="9"/>
      <c r="U9" s="21">
        <v>1087</v>
      </c>
      <c r="V9" s="20">
        <v>44932</v>
      </c>
      <c r="W9" s="9" t="s">
        <v>38</v>
      </c>
      <c r="X9" s="9" t="s">
        <v>25</v>
      </c>
      <c r="Y9" s="9">
        <v>7698.92</v>
      </c>
      <c r="Z9" s="9">
        <v>46</v>
      </c>
      <c r="AA9" s="9" t="s">
        <v>16</v>
      </c>
      <c r="AB9" s="9">
        <v>3702.51</v>
      </c>
      <c r="AC9" s="9">
        <v>3964.65</v>
      </c>
      <c r="AD9" s="9" t="s">
        <v>30</v>
      </c>
      <c r="AE9" s="9">
        <v>0.12</v>
      </c>
      <c r="AF9" s="9" t="s">
        <v>27</v>
      </c>
      <c r="AG9" s="9" t="s">
        <v>19</v>
      </c>
    </row>
    <row r="10" spans="1:34" x14ac:dyDescent="0.25">
      <c r="A10" s="9">
        <v>1075</v>
      </c>
      <c r="B10" s="20">
        <v>45106</v>
      </c>
      <c r="C10" s="9" t="s">
        <v>24</v>
      </c>
      <c r="D10" s="9" t="s">
        <v>25</v>
      </c>
      <c r="E10" s="9">
        <v>4223.3900000000003</v>
      </c>
      <c r="F10" s="9">
        <v>30</v>
      </c>
      <c r="G10" s="9" t="s">
        <v>16</v>
      </c>
      <c r="H10" s="9">
        <v>738.06</v>
      </c>
      <c r="I10" s="9">
        <v>1095.44999999999</v>
      </c>
      <c r="J10" s="9" t="s">
        <v>30</v>
      </c>
      <c r="K10" s="9">
        <v>0.05</v>
      </c>
      <c r="L10" s="9" t="s">
        <v>27</v>
      </c>
      <c r="M10" s="9" t="s">
        <v>19</v>
      </c>
      <c r="N10" s="9" t="s">
        <v>28</v>
      </c>
      <c r="O10" s="9"/>
      <c r="U10" s="21">
        <v>1075</v>
      </c>
      <c r="V10" s="20">
        <v>45106</v>
      </c>
      <c r="W10" s="9" t="s">
        <v>24</v>
      </c>
      <c r="X10" s="9" t="s">
        <v>25</v>
      </c>
      <c r="Y10" s="9">
        <v>4223.3900000000003</v>
      </c>
      <c r="Z10" s="9">
        <v>30</v>
      </c>
      <c r="AA10" s="9" t="s">
        <v>16</v>
      </c>
      <c r="AB10" s="9">
        <v>738.06</v>
      </c>
      <c r="AC10" s="9">
        <v>1095.44999999999</v>
      </c>
      <c r="AD10" s="9" t="s">
        <v>30</v>
      </c>
      <c r="AE10" s="9">
        <v>0.05</v>
      </c>
      <c r="AF10" s="9" t="s">
        <v>27</v>
      </c>
      <c r="AG10" s="9" t="s">
        <v>19</v>
      </c>
    </row>
    <row r="11" spans="1:34" x14ac:dyDescent="0.25">
      <c r="A11" s="9">
        <v>1088</v>
      </c>
      <c r="B11" s="20">
        <v>45208</v>
      </c>
      <c r="C11" s="9" t="s">
        <v>33</v>
      </c>
      <c r="D11" s="9" t="s">
        <v>21</v>
      </c>
      <c r="E11" s="9">
        <v>8239.58</v>
      </c>
      <c r="F11" s="9">
        <v>18</v>
      </c>
      <c r="G11" s="9" t="s">
        <v>29</v>
      </c>
      <c r="H11" s="9">
        <v>2228.35</v>
      </c>
      <c r="I11" s="9">
        <v>2682.34</v>
      </c>
      <c r="J11" s="9" t="s">
        <v>30</v>
      </c>
      <c r="K11" s="9">
        <v>0.13</v>
      </c>
      <c r="L11" s="9" t="s">
        <v>27</v>
      </c>
      <c r="M11" s="9" t="s">
        <v>19</v>
      </c>
      <c r="N11" s="9" t="s">
        <v>37</v>
      </c>
      <c r="O11" s="9"/>
      <c r="U11" s="21">
        <v>1075</v>
      </c>
      <c r="V11" s="20">
        <v>45208</v>
      </c>
      <c r="W11" s="9" t="s">
        <v>33</v>
      </c>
      <c r="X11" s="9" t="s">
        <v>21</v>
      </c>
      <c r="Y11" s="9">
        <v>8239.58</v>
      </c>
      <c r="Z11" s="9">
        <v>18</v>
      </c>
      <c r="AA11" s="9" t="s">
        <v>29</v>
      </c>
      <c r="AB11" s="9">
        <v>2228.35</v>
      </c>
      <c r="AC11" s="9">
        <v>2682.34</v>
      </c>
      <c r="AD11" s="9" t="s">
        <v>30</v>
      </c>
      <c r="AE11" s="9">
        <v>0.13</v>
      </c>
      <c r="AF11" s="9" t="s">
        <v>27</v>
      </c>
      <c r="AG11" s="9" t="s">
        <v>19</v>
      </c>
    </row>
    <row r="12" spans="1:34" x14ac:dyDescent="0.25">
      <c r="A12" s="9">
        <v>1100</v>
      </c>
      <c r="B12" s="20">
        <v>45246</v>
      </c>
      <c r="C12" s="9" t="s">
        <v>38</v>
      </c>
      <c r="D12" s="9" t="s">
        <v>15</v>
      </c>
      <c r="E12" s="9">
        <v>8518.4500000000007</v>
      </c>
      <c r="F12" s="9">
        <v>13</v>
      </c>
      <c r="G12" s="9" t="s">
        <v>16</v>
      </c>
      <c r="H12" s="9">
        <v>2440.11</v>
      </c>
      <c r="I12" s="9">
        <v>2517.6</v>
      </c>
      <c r="J12" s="9" t="s">
        <v>30</v>
      </c>
      <c r="K12" s="9">
        <v>0.23</v>
      </c>
      <c r="L12" s="9" t="s">
        <v>27</v>
      </c>
      <c r="M12" s="9" t="s">
        <v>22</v>
      </c>
      <c r="N12" s="9" t="s">
        <v>40</v>
      </c>
      <c r="O12" s="9"/>
      <c r="U12" s="21">
        <v>1088</v>
      </c>
      <c r="V12" s="20">
        <v>45246</v>
      </c>
      <c r="W12" s="9" t="s">
        <v>38</v>
      </c>
      <c r="X12" s="9" t="s">
        <v>15</v>
      </c>
      <c r="Y12" s="9">
        <v>8518.4500000000007</v>
      </c>
      <c r="Z12" s="9">
        <v>13</v>
      </c>
      <c r="AA12" s="9" t="s">
        <v>16</v>
      </c>
      <c r="AB12" s="9">
        <v>2440.11</v>
      </c>
      <c r="AC12" s="9">
        <v>2517.6</v>
      </c>
      <c r="AD12" s="9" t="s">
        <v>30</v>
      </c>
      <c r="AE12" s="9">
        <v>0.23</v>
      </c>
      <c r="AF12" s="9" t="s">
        <v>27</v>
      </c>
      <c r="AG12" s="9" t="s">
        <v>22</v>
      </c>
    </row>
    <row r="13" spans="1:34" x14ac:dyDescent="0.25">
      <c r="A13" s="9">
        <v>1024</v>
      </c>
      <c r="B13" s="20">
        <v>45152</v>
      </c>
      <c r="C13" s="9" t="s">
        <v>14</v>
      </c>
      <c r="D13" s="9" t="s">
        <v>21</v>
      </c>
      <c r="E13" s="9">
        <v>2198.7399999999998</v>
      </c>
      <c r="F13" s="9">
        <v>43</v>
      </c>
      <c r="G13" s="9" t="s">
        <v>26</v>
      </c>
      <c r="H13" s="9">
        <v>1100.81</v>
      </c>
      <c r="I13" s="9">
        <v>1137.44</v>
      </c>
      <c r="J13" s="9" t="s">
        <v>17</v>
      </c>
      <c r="K13" s="9">
        <v>0.08</v>
      </c>
      <c r="L13" s="9" t="s">
        <v>27</v>
      </c>
      <c r="M13" s="9" t="s">
        <v>19</v>
      </c>
      <c r="N13" s="9" t="s">
        <v>23</v>
      </c>
      <c r="O13" s="9"/>
      <c r="U13" s="21">
        <v>1100</v>
      </c>
      <c r="V13" s="20">
        <v>45152</v>
      </c>
      <c r="W13" s="9" t="s">
        <v>14</v>
      </c>
      <c r="X13" s="9" t="s">
        <v>21</v>
      </c>
      <c r="Y13" s="9">
        <v>2198.7399999999998</v>
      </c>
      <c r="Z13" s="9">
        <v>43</v>
      </c>
      <c r="AA13" s="9" t="s">
        <v>26</v>
      </c>
      <c r="AB13" s="9">
        <v>1100.81</v>
      </c>
      <c r="AC13" s="9">
        <v>1137.44</v>
      </c>
      <c r="AD13" s="9" t="s">
        <v>17</v>
      </c>
      <c r="AE13" s="9">
        <v>0.08</v>
      </c>
      <c r="AF13" s="9" t="s">
        <v>27</v>
      </c>
      <c r="AG13" s="9" t="s">
        <v>19</v>
      </c>
    </row>
    <row r="14" spans="1:34" x14ac:dyDescent="0.25">
      <c r="A14" s="9">
        <v>1003</v>
      </c>
      <c r="B14" s="20">
        <v>45241</v>
      </c>
      <c r="C14" s="9" t="s">
        <v>38</v>
      </c>
      <c r="D14" s="9" t="s">
        <v>21</v>
      </c>
      <c r="E14" s="9">
        <v>6607.8</v>
      </c>
      <c r="F14" s="9">
        <v>21</v>
      </c>
      <c r="G14" s="9" t="s">
        <v>26</v>
      </c>
      <c r="H14" s="9">
        <v>622.01</v>
      </c>
      <c r="I14" s="9">
        <v>641.09</v>
      </c>
      <c r="J14" s="9" t="s">
        <v>17</v>
      </c>
      <c r="K14" s="9">
        <v>0</v>
      </c>
      <c r="L14" s="9" t="s">
        <v>27</v>
      </c>
      <c r="M14" s="9" t="s">
        <v>22</v>
      </c>
      <c r="N14" s="9" t="s">
        <v>41</v>
      </c>
      <c r="O14" s="9"/>
      <c r="U14" s="21">
        <v>1024</v>
      </c>
      <c r="V14" s="20">
        <v>45241</v>
      </c>
      <c r="W14" s="9" t="s">
        <v>38</v>
      </c>
      <c r="X14" s="9" t="s">
        <v>21</v>
      </c>
      <c r="Y14" s="9">
        <v>6607.8</v>
      </c>
      <c r="Z14" s="9">
        <v>21</v>
      </c>
      <c r="AA14" s="9" t="s">
        <v>26</v>
      </c>
      <c r="AB14" s="9">
        <v>622.01</v>
      </c>
      <c r="AC14" s="9">
        <v>641.09</v>
      </c>
      <c r="AD14" s="9" t="s">
        <v>17</v>
      </c>
      <c r="AE14" s="9">
        <v>0</v>
      </c>
      <c r="AF14" s="9" t="s">
        <v>27</v>
      </c>
      <c r="AG14" s="9" t="s">
        <v>22</v>
      </c>
    </row>
    <row r="15" spans="1:34" x14ac:dyDescent="0.25">
      <c r="A15" s="9">
        <v>1022</v>
      </c>
      <c r="B15" s="20">
        <v>45291</v>
      </c>
      <c r="C15" s="9" t="s">
        <v>42</v>
      </c>
      <c r="D15" s="9" t="s">
        <v>25</v>
      </c>
      <c r="E15" s="9">
        <v>4775.59</v>
      </c>
      <c r="F15" s="9">
        <v>30</v>
      </c>
      <c r="G15" s="9" t="s">
        <v>16</v>
      </c>
      <c r="H15" s="9">
        <v>4190.28</v>
      </c>
      <c r="I15" s="9">
        <v>4270.6499999999996</v>
      </c>
      <c r="J15" s="9" t="s">
        <v>30</v>
      </c>
      <c r="K15" s="9">
        <v>0.2</v>
      </c>
      <c r="L15" s="9" t="s">
        <v>18</v>
      </c>
      <c r="M15" s="9" t="s">
        <v>19</v>
      </c>
      <c r="N15" s="9" t="s">
        <v>43</v>
      </c>
      <c r="O15" s="9"/>
      <c r="U15" s="21">
        <v>1003</v>
      </c>
      <c r="V15" s="20">
        <v>45291</v>
      </c>
      <c r="W15" s="9" t="s">
        <v>42</v>
      </c>
      <c r="X15" s="9" t="s">
        <v>25</v>
      </c>
      <c r="Y15" s="9">
        <v>4775.59</v>
      </c>
      <c r="Z15" s="9">
        <v>30</v>
      </c>
      <c r="AA15" s="9" t="s">
        <v>16</v>
      </c>
      <c r="AB15" s="9">
        <v>4190.28</v>
      </c>
      <c r="AC15" s="9">
        <v>4270.6499999999996</v>
      </c>
      <c r="AD15" s="9" t="s">
        <v>30</v>
      </c>
      <c r="AE15" s="9">
        <v>0.2</v>
      </c>
      <c r="AF15" s="9" t="s">
        <v>18</v>
      </c>
      <c r="AG15" s="9" t="s">
        <v>19</v>
      </c>
    </row>
    <row r="16" spans="1:34" x14ac:dyDescent="0.25">
      <c r="A16" s="9">
        <v>1053</v>
      </c>
      <c r="B16" s="20">
        <v>45155</v>
      </c>
      <c r="C16" s="9" t="s">
        <v>33</v>
      </c>
      <c r="D16" s="9" t="s">
        <v>25</v>
      </c>
      <c r="E16" s="9">
        <v>8813.5499999999993</v>
      </c>
      <c r="F16" s="9">
        <v>21</v>
      </c>
      <c r="G16" s="9" t="s">
        <v>26</v>
      </c>
      <c r="H16" s="9">
        <v>2537.1999999999998</v>
      </c>
      <c r="I16" s="9">
        <v>2869.6</v>
      </c>
      <c r="J16" s="9" t="s">
        <v>30</v>
      </c>
      <c r="K16" s="9">
        <v>0.28999999999999998</v>
      </c>
      <c r="L16" s="9" t="s">
        <v>27</v>
      </c>
      <c r="M16" s="9" t="s">
        <v>22</v>
      </c>
      <c r="N16" s="9" t="s">
        <v>44</v>
      </c>
      <c r="O16" s="9"/>
      <c r="U16" s="21">
        <v>1022</v>
      </c>
      <c r="V16" s="20">
        <v>45155</v>
      </c>
      <c r="W16" s="9" t="s">
        <v>33</v>
      </c>
      <c r="X16" s="9" t="s">
        <v>25</v>
      </c>
      <c r="Y16" s="9">
        <v>8813.5499999999993</v>
      </c>
      <c r="Z16" s="9">
        <v>21</v>
      </c>
      <c r="AA16" s="9" t="s">
        <v>26</v>
      </c>
      <c r="AB16" s="9">
        <v>2537.1999999999998</v>
      </c>
      <c r="AC16" s="9">
        <v>2869.6</v>
      </c>
      <c r="AD16" s="9" t="s">
        <v>30</v>
      </c>
      <c r="AE16" s="9">
        <v>0.28999999999999998</v>
      </c>
      <c r="AF16" s="9" t="s">
        <v>27</v>
      </c>
      <c r="AG16" s="9" t="s">
        <v>22</v>
      </c>
    </row>
    <row r="17" spans="1:33" x14ac:dyDescent="0.25">
      <c r="A17" s="9">
        <v>1002</v>
      </c>
      <c r="B17" s="20">
        <v>45215</v>
      </c>
      <c r="C17" s="9" t="s">
        <v>14</v>
      </c>
      <c r="D17" s="9" t="s">
        <v>15</v>
      </c>
      <c r="E17" s="9">
        <v>2235.83</v>
      </c>
      <c r="F17" s="9">
        <v>48</v>
      </c>
      <c r="G17" s="9" t="s">
        <v>16</v>
      </c>
      <c r="H17" s="9">
        <v>121.19</v>
      </c>
      <c r="I17" s="9">
        <v>487.65</v>
      </c>
      <c r="J17" s="9" t="s">
        <v>30</v>
      </c>
      <c r="K17" s="9">
        <v>0.18</v>
      </c>
      <c r="L17" s="9" t="s">
        <v>18</v>
      </c>
      <c r="M17" s="9" t="s">
        <v>22</v>
      </c>
      <c r="N17" s="9" t="s">
        <v>20</v>
      </c>
      <c r="O17" s="9"/>
      <c r="P17" s="22"/>
      <c r="U17" s="21">
        <v>1053</v>
      </c>
      <c r="V17" s="20">
        <v>45215</v>
      </c>
      <c r="W17" s="9" t="s">
        <v>14</v>
      </c>
      <c r="X17" s="9" t="s">
        <v>15</v>
      </c>
      <c r="Y17" s="9">
        <v>2235.83</v>
      </c>
      <c r="Z17" s="9">
        <v>48</v>
      </c>
      <c r="AA17" s="9" t="s">
        <v>16</v>
      </c>
      <c r="AB17" s="9">
        <v>121.19</v>
      </c>
      <c r="AC17" s="9">
        <v>487.65</v>
      </c>
      <c r="AD17" s="9" t="s">
        <v>30</v>
      </c>
      <c r="AE17" s="9">
        <v>0.18</v>
      </c>
      <c r="AF17" s="9" t="s">
        <v>18</v>
      </c>
      <c r="AG17" s="9" t="s">
        <v>22</v>
      </c>
    </row>
    <row r="18" spans="1:33" x14ac:dyDescent="0.25">
      <c r="A18" s="9">
        <v>1030</v>
      </c>
      <c r="B18" s="20">
        <v>45076</v>
      </c>
      <c r="C18" s="9" t="s">
        <v>24</v>
      </c>
      <c r="D18" s="9" t="s">
        <v>15</v>
      </c>
      <c r="E18" s="9">
        <v>6810.35</v>
      </c>
      <c r="F18" s="9">
        <v>17</v>
      </c>
      <c r="G18" s="9" t="s">
        <v>16</v>
      </c>
      <c r="H18" s="9">
        <v>4024.76</v>
      </c>
      <c r="I18" s="9">
        <v>4420.1499999999996</v>
      </c>
      <c r="J18" s="9" t="s">
        <v>17</v>
      </c>
      <c r="K18" s="9">
        <v>0.04</v>
      </c>
      <c r="L18" s="9" t="s">
        <v>18</v>
      </c>
      <c r="M18" s="9" t="s">
        <v>19</v>
      </c>
      <c r="N18" s="9" t="s">
        <v>45</v>
      </c>
      <c r="O18" s="9"/>
      <c r="U18" s="21">
        <v>1002</v>
      </c>
      <c r="V18" s="20">
        <v>45076</v>
      </c>
      <c r="W18" s="9" t="s">
        <v>24</v>
      </c>
      <c r="X18" s="9" t="s">
        <v>15</v>
      </c>
      <c r="Y18" s="9">
        <v>6810.35</v>
      </c>
      <c r="Z18" s="9">
        <v>17</v>
      </c>
      <c r="AA18" s="9" t="s">
        <v>16</v>
      </c>
      <c r="AB18" s="9">
        <v>4024.76</v>
      </c>
      <c r="AC18" s="9">
        <v>4420.1499999999996</v>
      </c>
      <c r="AD18" s="9" t="s">
        <v>17</v>
      </c>
      <c r="AE18" s="9">
        <v>0.04</v>
      </c>
      <c r="AF18" s="9" t="s">
        <v>18</v>
      </c>
      <c r="AG18" s="9" t="s">
        <v>19</v>
      </c>
    </row>
    <row r="19" spans="1:33" x14ac:dyDescent="0.25">
      <c r="A19" s="9">
        <v>1038</v>
      </c>
      <c r="B19" s="20">
        <v>45203</v>
      </c>
      <c r="C19" s="9" t="s">
        <v>14</v>
      </c>
      <c r="D19" s="9" t="s">
        <v>34</v>
      </c>
      <c r="E19" s="9">
        <v>6116.75</v>
      </c>
      <c r="F19" s="9">
        <v>40</v>
      </c>
      <c r="G19" s="9" t="s">
        <v>35</v>
      </c>
      <c r="H19" s="9">
        <v>4904.93</v>
      </c>
      <c r="I19" s="9">
        <v>5034.3500000000004</v>
      </c>
      <c r="J19" s="9" t="s">
        <v>30</v>
      </c>
      <c r="K19" s="9">
        <v>0.1</v>
      </c>
      <c r="L19" s="9" t="s">
        <v>31</v>
      </c>
      <c r="M19" s="9" t="s">
        <v>22</v>
      </c>
      <c r="N19" s="9" t="s">
        <v>46</v>
      </c>
      <c r="O19" s="9"/>
      <c r="U19" s="21">
        <v>1088</v>
      </c>
      <c r="V19" s="20">
        <v>45203</v>
      </c>
      <c r="W19" s="9" t="s">
        <v>14</v>
      </c>
      <c r="X19" s="9" t="s">
        <v>34</v>
      </c>
      <c r="Y19" s="9">
        <v>6116.75</v>
      </c>
      <c r="Z19" s="9">
        <v>40</v>
      </c>
      <c r="AA19" s="9" t="s">
        <v>35</v>
      </c>
      <c r="AB19" s="9">
        <v>4904.93</v>
      </c>
      <c r="AC19" s="9">
        <v>5034.3500000000004</v>
      </c>
      <c r="AD19" s="9" t="s">
        <v>30</v>
      </c>
      <c r="AE19" s="9">
        <v>0.1</v>
      </c>
      <c r="AF19" s="9" t="s">
        <v>31</v>
      </c>
      <c r="AG19" s="9" t="s">
        <v>22</v>
      </c>
    </row>
    <row r="20" spans="1:33" x14ac:dyDescent="0.25">
      <c r="A20" s="9">
        <v>1064</v>
      </c>
      <c r="B20" s="20">
        <v>45124</v>
      </c>
      <c r="C20" s="9" t="s">
        <v>24</v>
      </c>
      <c r="D20" s="9" t="s">
        <v>21</v>
      </c>
      <c r="E20" s="9">
        <v>3023.48</v>
      </c>
      <c r="F20" s="9">
        <v>19</v>
      </c>
      <c r="G20" s="9" t="s">
        <v>29</v>
      </c>
      <c r="H20" s="9">
        <v>3049.33</v>
      </c>
      <c r="I20" s="9">
        <v>3209.22</v>
      </c>
      <c r="J20" s="9" t="s">
        <v>17</v>
      </c>
      <c r="K20" s="9">
        <v>0.26</v>
      </c>
      <c r="L20" s="9" t="s">
        <v>18</v>
      </c>
      <c r="M20" s="9" t="s">
        <v>19</v>
      </c>
      <c r="N20" s="9" t="s">
        <v>47</v>
      </c>
      <c r="O20" s="9"/>
      <c r="U20" s="21">
        <v>1030</v>
      </c>
      <c r="V20" s="20">
        <v>45124</v>
      </c>
      <c r="W20" s="9" t="s">
        <v>24</v>
      </c>
      <c r="X20" s="9" t="s">
        <v>21</v>
      </c>
      <c r="Y20" s="9">
        <v>3023.48</v>
      </c>
      <c r="Z20" s="9">
        <v>19</v>
      </c>
      <c r="AA20" s="9" t="s">
        <v>29</v>
      </c>
      <c r="AB20" s="9">
        <v>3049.33</v>
      </c>
      <c r="AC20" s="9">
        <v>3209.22</v>
      </c>
      <c r="AD20" s="9" t="s">
        <v>17</v>
      </c>
      <c r="AE20" s="9">
        <v>0.26</v>
      </c>
      <c r="AF20" s="9" t="s">
        <v>18</v>
      </c>
      <c r="AG20" s="9" t="s">
        <v>19</v>
      </c>
    </row>
    <row r="21" spans="1:33" x14ac:dyDescent="0.25">
      <c r="A21" s="9">
        <v>1060</v>
      </c>
      <c r="B21" s="20">
        <v>44996</v>
      </c>
      <c r="C21" s="9" t="s">
        <v>14</v>
      </c>
      <c r="D21" s="9" t="s">
        <v>25</v>
      </c>
      <c r="E21" s="9">
        <v>1452.35</v>
      </c>
      <c r="F21" s="9">
        <v>15</v>
      </c>
      <c r="G21" s="9" t="s">
        <v>29</v>
      </c>
      <c r="H21" s="9">
        <v>2543.36</v>
      </c>
      <c r="I21" s="9">
        <v>2790.1</v>
      </c>
      <c r="J21" s="9" t="s">
        <v>17</v>
      </c>
      <c r="K21" s="9">
        <v>7.0000000000000007E-2</v>
      </c>
      <c r="L21" s="9" t="s">
        <v>18</v>
      </c>
      <c r="M21" s="9" t="s">
        <v>19</v>
      </c>
      <c r="N21" s="9" t="s">
        <v>32</v>
      </c>
      <c r="O21" s="9"/>
      <c r="U21" s="21">
        <v>1038</v>
      </c>
      <c r="V21" s="20">
        <v>44996</v>
      </c>
      <c r="W21" s="9" t="s">
        <v>14</v>
      </c>
      <c r="X21" s="9" t="s">
        <v>25</v>
      </c>
      <c r="Y21" s="9">
        <v>1452.35</v>
      </c>
      <c r="Z21" s="9">
        <v>15</v>
      </c>
      <c r="AA21" s="9" t="s">
        <v>29</v>
      </c>
      <c r="AB21" s="9">
        <v>2543.36</v>
      </c>
      <c r="AC21" s="9">
        <v>2790.1</v>
      </c>
      <c r="AD21" s="9" t="s">
        <v>17</v>
      </c>
      <c r="AE21" s="9">
        <v>7.0000000000000007E-2</v>
      </c>
      <c r="AF21" s="9" t="s">
        <v>18</v>
      </c>
      <c r="AG21" s="9" t="s">
        <v>19</v>
      </c>
    </row>
    <row r="22" spans="1:33" x14ac:dyDescent="0.25">
      <c r="A22" s="9">
        <v>1033</v>
      </c>
      <c r="B22" s="20">
        <v>45038</v>
      </c>
      <c r="C22" s="9" t="s">
        <v>38</v>
      </c>
      <c r="D22" s="9" t="s">
        <v>15</v>
      </c>
      <c r="E22" s="9">
        <v>6551.23</v>
      </c>
      <c r="F22" s="9">
        <v>9</v>
      </c>
      <c r="G22" s="9" t="s">
        <v>35</v>
      </c>
      <c r="H22" s="9">
        <v>4398.16</v>
      </c>
      <c r="I22" s="9">
        <v>4439.12</v>
      </c>
      <c r="J22" s="9" t="s">
        <v>30</v>
      </c>
      <c r="K22" s="9">
        <v>0.18</v>
      </c>
      <c r="L22" s="9" t="s">
        <v>27</v>
      </c>
      <c r="M22" s="9" t="s">
        <v>19</v>
      </c>
      <c r="N22" s="9" t="s">
        <v>40</v>
      </c>
      <c r="O22" s="9"/>
      <c r="U22" s="21">
        <v>1002</v>
      </c>
      <c r="V22" s="20">
        <v>45038</v>
      </c>
      <c r="W22" s="9" t="s">
        <v>38</v>
      </c>
      <c r="X22" s="9" t="s">
        <v>15</v>
      </c>
      <c r="Y22" s="9">
        <v>6551.23</v>
      </c>
      <c r="Z22" s="9">
        <v>9</v>
      </c>
      <c r="AA22" s="9" t="s">
        <v>35</v>
      </c>
      <c r="AB22" s="9">
        <v>4398.16</v>
      </c>
      <c r="AC22" s="9">
        <v>4439.12</v>
      </c>
      <c r="AD22" s="9" t="s">
        <v>30</v>
      </c>
      <c r="AE22" s="9">
        <v>0.18</v>
      </c>
      <c r="AF22" s="9" t="s">
        <v>27</v>
      </c>
      <c r="AG22" s="9" t="s">
        <v>19</v>
      </c>
    </row>
    <row r="23" spans="1:33" x14ac:dyDescent="0.25">
      <c r="A23" s="9">
        <v>1076</v>
      </c>
      <c r="B23" s="20">
        <v>44930</v>
      </c>
      <c r="C23" s="9" t="s">
        <v>38</v>
      </c>
      <c r="D23" s="9" t="s">
        <v>34</v>
      </c>
      <c r="E23" s="9">
        <v>7412.11</v>
      </c>
      <c r="F23" s="9">
        <v>10</v>
      </c>
      <c r="G23" s="9" t="s">
        <v>35</v>
      </c>
      <c r="H23" s="9">
        <v>4764.96</v>
      </c>
      <c r="I23" s="9">
        <v>5074.42</v>
      </c>
      <c r="J23" s="9" t="s">
        <v>30</v>
      </c>
      <c r="K23" s="9">
        <v>0.12</v>
      </c>
      <c r="L23" s="9" t="s">
        <v>18</v>
      </c>
      <c r="M23" s="9" t="s">
        <v>19</v>
      </c>
      <c r="N23" s="9" t="s">
        <v>48</v>
      </c>
      <c r="O23" s="9"/>
      <c r="U23" s="21">
        <v>1064</v>
      </c>
      <c r="V23" s="20">
        <v>44930</v>
      </c>
      <c r="W23" s="9" t="s">
        <v>38</v>
      </c>
      <c r="X23" s="9" t="s">
        <v>34</v>
      </c>
      <c r="Y23" s="9">
        <v>7412.11</v>
      </c>
      <c r="Z23" s="9">
        <v>10</v>
      </c>
      <c r="AA23" s="9" t="s">
        <v>35</v>
      </c>
      <c r="AB23" s="9">
        <v>4764.96</v>
      </c>
      <c r="AC23" s="9">
        <v>5074.42</v>
      </c>
      <c r="AD23" s="9" t="s">
        <v>30</v>
      </c>
      <c r="AE23" s="9">
        <v>0.12</v>
      </c>
      <c r="AF23" s="9" t="s">
        <v>18</v>
      </c>
      <c r="AG23" s="9" t="s">
        <v>19</v>
      </c>
    </row>
    <row r="24" spans="1:33" x14ac:dyDescent="0.25">
      <c r="A24" s="9">
        <v>1058</v>
      </c>
      <c r="B24" s="20">
        <v>45276</v>
      </c>
      <c r="C24" s="9" t="s">
        <v>38</v>
      </c>
      <c r="D24" s="9" t="s">
        <v>34</v>
      </c>
      <c r="E24" s="9">
        <v>3224.71</v>
      </c>
      <c r="F24" s="9">
        <v>44</v>
      </c>
      <c r="G24" s="9" t="s">
        <v>29</v>
      </c>
      <c r="H24" s="9">
        <v>3784.96</v>
      </c>
      <c r="I24" s="9">
        <v>4276.99</v>
      </c>
      <c r="J24" s="9" t="s">
        <v>30</v>
      </c>
      <c r="K24" s="9">
        <v>0.06</v>
      </c>
      <c r="L24" s="9" t="s">
        <v>27</v>
      </c>
      <c r="M24" s="9" t="s">
        <v>22</v>
      </c>
      <c r="N24" s="9" t="s">
        <v>48</v>
      </c>
      <c r="O24" s="9"/>
      <c r="U24" s="21">
        <v>1060</v>
      </c>
      <c r="V24" s="20">
        <v>45276</v>
      </c>
      <c r="W24" s="9" t="s">
        <v>38</v>
      </c>
      <c r="X24" s="9" t="s">
        <v>34</v>
      </c>
      <c r="Y24" s="9">
        <v>3224.71</v>
      </c>
      <c r="Z24" s="9">
        <v>44</v>
      </c>
      <c r="AA24" s="9" t="s">
        <v>29</v>
      </c>
      <c r="AB24" s="9">
        <v>3784.96</v>
      </c>
      <c r="AC24" s="9">
        <v>4276.99</v>
      </c>
      <c r="AD24" s="9" t="s">
        <v>30</v>
      </c>
      <c r="AE24" s="9">
        <v>0.06</v>
      </c>
      <c r="AF24" s="9" t="s">
        <v>27</v>
      </c>
      <c r="AG24" s="9" t="s">
        <v>22</v>
      </c>
    </row>
    <row r="25" spans="1:33" x14ac:dyDescent="0.25">
      <c r="A25" s="9">
        <v>1089</v>
      </c>
      <c r="B25" s="20">
        <v>45257</v>
      </c>
      <c r="C25" s="9" t="s">
        <v>42</v>
      </c>
      <c r="D25" s="9" t="s">
        <v>25</v>
      </c>
      <c r="E25" s="9">
        <v>6483.84</v>
      </c>
      <c r="F25" s="9">
        <v>31</v>
      </c>
      <c r="G25" s="9" t="s">
        <v>16</v>
      </c>
      <c r="H25" s="9">
        <v>2254.9899999999998</v>
      </c>
      <c r="I25" s="9">
        <v>2441.79</v>
      </c>
      <c r="J25" s="9" t="s">
        <v>17</v>
      </c>
      <c r="K25" s="9">
        <v>0.24</v>
      </c>
      <c r="L25" s="9" t="s">
        <v>27</v>
      </c>
      <c r="M25" s="9" t="s">
        <v>19</v>
      </c>
      <c r="N25" s="9" t="s">
        <v>43</v>
      </c>
      <c r="O25" s="9"/>
      <c r="U25" s="21">
        <v>1021</v>
      </c>
      <c r="V25" s="20">
        <v>45257</v>
      </c>
      <c r="W25" s="9" t="s">
        <v>42</v>
      </c>
      <c r="X25" s="9" t="s">
        <v>25</v>
      </c>
      <c r="Y25" s="9">
        <v>6483.84</v>
      </c>
      <c r="Z25" s="9">
        <v>31</v>
      </c>
      <c r="AA25" s="9" t="s">
        <v>16</v>
      </c>
      <c r="AB25" s="9">
        <v>2254.9899999999998</v>
      </c>
      <c r="AC25" s="9">
        <v>2441.79</v>
      </c>
      <c r="AD25" s="9" t="s">
        <v>17</v>
      </c>
      <c r="AE25" s="9">
        <v>0.24</v>
      </c>
      <c r="AF25" s="9" t="s">
        <v>27</v>
      </c>
      <c r="AG25" s="9" t="s">
        <v>19</v>
      </c>
    </row>
    <row r="26" spans="1:33" x14ac:dyDescent="0.25">
      <c r="A26" s="9">
        <v>1049</v>
      </c>
      <c r="B26" s="20">
        <v>45244</v>
      </c>
      <c r="C26" s="9" t="s">
        <v>24</v>
      </c>
      <c r="D26" s="9" t="s">
        <v>25</v>
      </c>
      <c r="E26" s="9">
        <v>4011.8</v>
      </c>
      <c r="F26" s="9">
        <v>23</v>
      </c>
      <c r="G26" s="9" t="s">
        <v>16</v>
      </c>
      <c r="H26" s="9">
        <v>2981.5</v>
      </c>
      <c r="I26" s="9">
        <v>3360.4</v>
      </c>
      <c r="J26" s="9" t="s">
        <v>17</v>
      </c>
      <c r="K26" s="9">
        <v>0.22</v>
      </c>
      <c r="L26" s="9" t="s">
        <v>27</v>
      </c>
      <c r="M26" s="9" t="s">
        <v>22</v>
      </c>
      <c r="N26" s="9" t="s">
        <v>28</v>
      </c>
      <c r="O26" s="9"/>
      <c r="U26" s="21">
        <v>1033</v>
      </c>
      <c r="V26" s="20">
        <v>45244</v>
      </c>
      <c r="W26" s="9" t="s">
        <v>24</v>
      </c>
      <c r="X26" s="9" t="s">
        <v>25</v>
      </c>
      <c r="Y26" s="9">
        <v>4011.8</v>
      </c>
      <c r="Z26" s="9">
        <v>23</v>
      </c>
      <c r="AA26" s="9" t="s">
        <v>16</v>
      </c>
      <c r="AB26" s="9">
        <v>2981.5</v>
      </c>
      <c r="AC26" s="9">
        <v>3360.4</v>
      </c>
      <c r="AD26" s="9" t="s">
        <v>17</v>
      </c>
      <c r="AE26" s="9">
        <v>0.22</v>
      </c>
      <c r="AF26" s="9" t="s">
        <v>27</v>
      </c>
      <c r="AG26" s="9" t="s">
        <v>22</v>
      </c>
    </row>
    <row r="27" spans="1:33" x14ac:dyDescent="0.25">
      <c r="A27" s="9">
        <v>1091</v>
      </c>
      <c r="B27" s="20">
        <v>45276</v>
      </c>
      <c r="C27" s="9" t="s">
        <v>38</v>
      </c>
      <c r="D27" s="9" t="s">
        <v>34</v>
      </c>
      <c r="E27" s="9">
        <v>7160.75</v>
      </c>
      <c r="F27" s="9">
        <v>30</v>
      </c>
      <c r="G27" s="9" t="s">
        <v>29</v>
      </c>
      <c r="H27" s="9">
        <v>3519.63</v>
      </c>
      <c r="I27" s="9">
        <v>3774.65</v>
      </c>
      <c r="J27" s="9" t="s">
        <v>30</v>
      </c>
      <c r="K27" s="9">
        <v>0.2</v>
      </c>
      <c r="L27" s="9" t="s">
        <v>31</v>
      </c>
      <c r="M27" s="9" t="s">
        <v>22</v>
      </c>
      <c r="N27" s="9" t="s">
        <v>48</v>
      </c>
      <c r="O27" s="9"/>
      <c r="U27" s="21">
        <v>1076</v>
      </c>
      <c r="V27" s="20">
        <v>45276</v>
      </c>
      <c r="W27" s="9" t="s">
        <v>38</v>
      </c>
      <c r="X27" s="9" t="s">
        <v>34</v>
      </c>
      <c r="Y27" s="9">
        <v>7160.75</v>
      </c>
      <c r="Z27" s="9">
        <v>30</v>
      </c>
      <c r="AA27" s="9" t="s">
        <v>29</v>
      </c>
      <c r="AB27" s="9">
        <v>3519.63</v>
      </c>
      <c r="AC27" s="9">
        <v>3774.65</v>
      </c>
      <c r="AD27" s="9" t="s">
        <v>30</v>
      </c>
      <c r="AE27" s="9">
        <v>0.2</v>
      </c>
      <c r="AF27" s="9" t="s">
        <v>31</v>
      </c>
      <c r="AG27" s="9" t="s">
        <v>22</v>
      </c>
    </row>
    <row r="28" spans="1:33" x14ac:dyDescent="0.25">
      <c r="A28" s="9">
        <v>1059</v>
      </c>
      <c r="B28" s="20">
        <v>45021</v>
      </c>
      <c r="C28" s="9" t="s">
        <v>42</v>
      </c>
      <c r="D28" s="9" t="s">
        <v>15</v>
      </c>
      <c r="E28" s="9">
        <v>2072.23</v>
      </c>
      <c r="F28" s="9">
        <v>33</v>
      </c>
      <c r="G28" s="9" t="s">
        <v>16</v>
      </c>
      <c r="H28" s="9">
        <v>1011.65</v>
      </c>
      <c r="I28" s="9">
        <v>1084.28</v>
      </c>
      <c r="J28" s="9" t="s">
        <v>17</v>
      </c>
      <c r="K28" s="9">
        <v>7.0000000000000007E-2</v>
      </c>
      <c r="L28" s="9" t="s">
        <v>27</v>
      </c>
      <c r="M28" s="9" t="s">
        <v>22</v>
      </c>
      <c r="N28" s="9" t="s">
        <v>49</v>
      </c>
      <c r="O28" s="9"/>
      <c r="U28" s="21">
        <v>1058</v>
      </c>
      <c r="V28" s="20">
        <v>45021</v>
      </c>
      <c r="W28" s="9" t="s">
        <v>42</v>
      </c>
      <c r="X28" s="9" t="s">
        <v>15</v>
      </c>
      <c r="Y28" s="9">
        <v>2072.23</v>
      </c>
      <c r="Z28" s="9">
        <v>33</v>
      </c>
      <c r="AA28" s="9" t="s">
        <v>16</v>
      </c>
      <c r="AB28" s="9">
        <v>1011.65</v>
      </c>
      <c r="AC28" s="9">
        <v>1084.28</v>
      </c>
      <c r="AD28" s="9" t="s">
        <v>17</v>
      </c>
      <c r="AE28" s="9">
        <v>7.0000000000000007E-2</v>
      </c>
      <c r="AF28" s="9" t="s">
        <v>27</v>
      </c>
      <c r="AG28" s="9" t="s">
        <v>22</v>
      </c>
    </row>
    <row r="29" spans="1:33" x14ac:dyDescent="0.25">
      <c r="A29" s="9">
        <v>1042</v>
      </c>
      <c r="B29" s="20">
        <v>45078</v>
      </c>
      <c r="C29" s="9" t="s">
        <v>24</v>
      </c>
      <c r="D29" s="9" t="s">
        <v>34</v>
      </c>
      <c r="E29" s="9">
        <v>8913.1299999999992</v>
      </c>
      <c r="F29" s="9">
        <v>9</v>
      </c>
      <c r="G29" s="9" t="s">
        <v>35</v>
      </c>
      <c r="H29" s="9">
        <v>2263.65</v>
      </c>
      <c r="I29" s="9">
        <v>2558.9499999999998</v>
      </c>
      <c r="J29" s="9" t="s">
        <v>30</v>
      </c>
      <c r="K29" s="9">
        <v>0.03</v>
      </c>
      <c r="L29" s="9" t="s">
        <v>18</v>
      </c>
      <c r="M29" s="9" t="s">
        <v>19</v>
      </c>
      <c r="N29" s="9" t="s">
        <v>50</v>
      </c>
      <c r="O29" s="9"/>
      <c r="U29" s="21">
        <v>1022</v>
      </c>
      <c r="V29" s="20">
        <v>45078</v>
      </c>
      <c r="W29" s="9" t="s">
        <v>24</v>
      </c>
      <c r="X29" s="9" t="s">
        <v>34</v>
      </c>
      <c r="Y29" s="9">
        <v>8913.1299999999992</v>
      </c>
      <c r="Z29" s="9">
        <v>9</v>
      </c>
      <c r="AA29" s="9" t="s">
        <v>35</v>
      </c>
      <c r="AB29" s="9">
        <v>2263.65</v>
      </c>
      <c r="AC29" s="9">
        <v>2558.9499999999998</v>
      </c>
      <c r="AD29" s="9" t="s">
        <v>30</v>
      </c>
      <c r="AE29" s="9">
        <v>0.03</v>
      </c>
      <c r="AF29" s="9" t="s">
        <v>18</v>
      </c>
      <c r="AG29" s="9" t="s">
        <v>19</v>
      </c>
    </row>
    <row r="30" spans="1:33" x14ac:dyDescent="0.25">
      <c r="A30" s="9">
        <v>1092</v>
      </c>
      <c r="B30" s="20">
        <v>45237</v>
      </c>
      <c r="C30" s="9" t="s">
        <v>14</v>
      </c>
      <c r="D30" s="9" t="s">
        <v>21</v>
      </c>
      <c r="E30" s="9">
        <v>2945.36</v>
      </c>
      <c r="F30" s="9">
        <v>47</v>
      </c>
      <c r="G30" s="9" t="s">
        <v>16</v>
      </c>
      <c r="H30" s="9">
        <v>4157.62</v>
      </c>
      <c r="I30" s="9">
        <v>4314.5599999999904</v>
      </c>
      <c r="J30" s="9" t="s">
        <v>30</v>
      </c>
      <c r="K30" s="9">
        <v>0.17</v>
      </c>
      <c r="L30" s="9" t="s">
        <v>27</v>
      </c>
      <c r="M30" s="9" t="s">
        <v>22</v>
      </c>
      <c r="N30" s="9" t="s">
        <v>23</v>
      </c>
      <c r="O30" s="9"/>
      <c r="U30" s="21">
        <v>1089</v>
      </c>
      <c r="V30" s="20">
        <v>45237</v>
      </c>
      <c r="W30" s="9" t="s">
        <v>14</v>
      </c>
      <c r="X30" s="9" t="s">
        <v>21</v>
      </c>
      <c r="Y30" s="9">
        <v>2945.36</v>
      </c>
      <c r="Z30" s="9">
        <v>47</v>
      </c>
      <c r="AA30" s="9" t="s">
        <v>16</v>
      </c>
      <c r="AB30" s="9">
        <v>4157.62</v>
      </c>
      <c r="AC30" s="9">
        <v>4314.5599999999904</v>
      </c>
      <c r="AD30" s="9" t="s">
        <v>30</v>
      </c>
      <c r="AE30" s="9">
        <v>0.17</v>
      </c>
      <c r="AF30" s="9" t="s">
        <v>27</v>
      </c>
      <c r="AG30" s="9" t="s">
        <v>22</v>
      </c>
    </row>
    <row r="31" spans="1:33" x14ac:dyDescent="0.25">
      <c r="A31" s="9">
        <v>1080</v>
      </c>
      <c r="B31" s="20">
        <v>45063</v>
      </c>
      <c r="C31" s="9" t="s">
        <v>42</v>
      </c>
      <c r="D31" s="9" t="s">
        <v>21</v>
      </c>
      <c r="E31" s="9">
        <v>3741.08</v>
      </c>
      <c r="F31" s="9">
        <v>1</v>
      </c>
      <c r="G31" s="9" t="s">
        <v>16</v>
      </c>
      <c r="H31" s="9">
        <v>3290.89</v>
      </c>
      <c r="I31" s="9">
        <v>3317.75</v>
      </c>
      <c r="J31" s="9" t="s">
        <v>17</v>
      </c>
      <c r="K31" s="9">
        <v>0.17</v>
      </c>
      <c r="L31" s="9" t="s">
        <v>27</v>
      </c>
      <c r="M31" s="9" t="s">
        <v>19</v>
      </c>
      <c r="N31" s="9" t="s">
        <v>51</v>
      </c>
      <c r="O31" s="9"/>
      <c r="U31" s="21">
        <v>1049</v>
      </c>
      <c r="V31" s="20">
        <v>45063</v>
      </c>
      <c r="W31" s="9" t="s">
        <v>42</v>
      </c>
      <c r="X31" s="9" t="s">
        <v>21</v>
      </c>
      <c r="Y31" s="9">
        <v>3741.08</v>
      </c>
      <c r="Z31" s="9">
        <v>1</v>
      </c>
      <c r="AA31" s="9" t="s">
        <v>16</v>
      </c>
      <c r="AB31" s="9">
        <v>3290.89</v>
      </c>
      <c r="AC31" s="9">
        <v>3317.75</v>
      </c>
      <c r="AD31" s="9" t="s">
        <v>17</v>
      </c>
      <c r="AE31" s="9">
        <v>0.17</v>
      </c>
      <c r="AF31" s="9" t="s">
        <v>27</v>
      </c>
      <c r="AG31" s="9" t="s">
        <v>19</v>
      </c>
    </row>
    <row r="32" spans="1:33" x14ac:dyDescent="0.25">
      <c r="A32" s="9">
        <v>1062</v>
      </c>
      <c r="B32" s="20">
        <v>45173</v>
      </c>
      <c r="C32" s="9" t="s">
        <v>33</v>
      </c>
      <c r="D32" s="9" t="s">
        <v>25</v>
      </c>
      <c r="E32" s="9">
        <v>675.11</v>
      </c>
      <c r="F32" s="9">
        <v>44</v>
      </c>
      <c r="G32" s="9" t="s">
        <v>26</v>
      </c>
      <c r="H32" s="9">
        <v>2085.46</v>
      </c>
      <c r="I32" s="9">
        <v>2406.58</v>
      </c>
      <c r="J32" s="9" t="s">
        <v>17</v>
      </c>
      <c r="K32" s="9">
        <v>0.06</v>
      </c>
      <c r="L32" s="9" t="s">
        <v>27</v>
      </c>
      <c r="M32" s="9" t="s">
        <v>22</v>
      </c>
      <c r="N32" s="9" t="s">
        <v>44</v>
      </c>
      <c r="O32" s="9"/>
    </row>
    <row r="33" spans="1:15" x14ac:dyDescent="0.25">
      <c r="A33" s="9">
        <v>1047</v>
      </c>
      <c r="B33" s="20">
        <v>45169</v>
      </c>
      <c r="C33" s="9" t="s">
        <v>42</v>
      </c>
      <c r="D33" s="9" t="s">
        <v>15</v>
      </c>
      <c r="E33" s="9">
        <v>1203.97</v>
      </c>
      <c r="F33" s="9">
        <v>35</v>
      </c>
      <c r="G33" s="9" t="s">
        <v>26</v>
      </c>
      <c r="H33" s="9">
        <v>3333.64</v>
      </c>
      <c r="I33" s="9">
        <v>3764.52</v>
      </c>
      <c r="J33" s="9" t="s">
        <v>17</v>
      </c>
      <c r="K33" s="9">
        <v>0.02</v>
      </c>
      <c r="L33" s="9" t="s">
        <v>31</v>
      </c>
      <c r="M33" s="9" t="s">
        <v>19</v>
      </c>
      <c r="N33" s="9" t="s">
        <v>49</v>
      </c>
      <c r="O33" s="9"/>
    </row>
    <row r="34" spans="1:15" x14ac:dyDescent="0.25">
      <c r="A34" s="9">
        <v>1051</v>
      </c>
      <c r="B34" s="20">
        <v>44957</v>
      </c>
      <c r="C34" s="9" t="s">
        <v>42</v>
      </c>
      <c r="D34" s="9" t="s">
        <v>15</v>
      </c>
      <c r="E34" s="9">
        <v>5207.03</v>
      </c>
      <c r="F34" s="9">
        <v>11</v>
      </c>
      <c r="G34" s="9" t="s">
        <v>26</v>
      </c>
      <c r="H34" s="9">
        <v>635.20000000000005</v>
      </c>
      <c r="I34" s="9">
        <v>814.14</v>
      </c>
      <c r="J34" s="9" t="s">
        <v>17</v>
      </c>
      <c r="K34" s="9">
        <v>0.02</v>
      </c>
      <c r="L34" s="9" t="s">
        <v>18</v>
      </c>
      <c r="M34" s="9" t="s">
        <v>19</v>
      </c>
      <c r="N34" s="9" t="s">
        <v>49</v>
      </c>
      <c r="O34" s="9"/>
    </row>
    <row r="35" spans="1:15" x14ac:dyDescent="0.25">
      <c r="A35" s="9">
        <v>1055</v>
      </c>
      <c r="B35" s="20">
        <v>44966</v>
      </c>
      <c r="C35" s="9" t="s">
        <v>24</v>
      </c>
      <c r="D35" s="9" t="s">
        <v>21</v>
      </c>
      <c r="E35" s="9">
        <v>2749.17</v>
      </c>
      <c r="F35" s="9">
        <v>34</v>
      </c>
      <c r="G35" s="9" t="s">
        <v>16</v>
      </c>
      <c r="H35" s="9">
        <v>2037.41</v>
      </c>
      <c r="I35" s="9">
        <v>2238.65</v>
      </c>
      <c r="J35" s="9" t="s">
        <v>30</v>
      </c>
      <c r="K35" s="9">
        <v>0.3</v>
      </c>
      <c r="L35" s="9" t="s">
        <v>31</v>
      </c>
      <c r="M35" s="9" t="s">
        <v>19</v>
      </c>
      <c r="N35" s="9" t="s">
        <v>47</v>
      </c>
      <c r="O35" s="9"/>
    </row>
    <row r="36" spans="1:15" x14ac:dyDescent="0.25">
      <c r="A36" s="9">
        <v>1007</v>
      </c>
      <c r="B36" s="20">
        <v>45155</v>
      </c>
      <c r="C36" s="9" t="s">
        <v>14</v>
      </c>
      <c r="D36" s="9" t="s">
        <v>34</v>
      </c>
      <c r="E36" s="9">
        <v>8371.25</v>
      </c>
      <c r="F36" s="9">
        <v>16</v>
      </c>
      <c r="G36" s="9" t="s">
        <v>29</v>
      </c>
      <c r="H36" s="9">
        <v>3975.99</v>
      </c>
      <c r="I36" s="9">
        <v>4422.59</v>
      </c>
      <c r="J36" s="9" t="s">
        <v>30</v>
      </c>
      <c r="K36" s="9">
        <v>0.24</v>
      </c>
      <c r="L36" s="9" t="s">
        <v>18</v>
      </c>
      <c r="M36" s="9" t="s">
        <v>19</v>
      </c>
      <c r="N36" s="9" t="s">
        <v>46</v>
      </c>
      <c r="O36" s="9"/>
    </row>
    <row r="37" spans="1:15" x14ac:dyDescent="0.25">
      <c r="A37" s="9">
        <v>1073</v>
      </c>
      <c r="B37" s="20">
        <v>44962</v>
      </c>
      <c r="C37" s="9" t="s">
        <v>33</v>
      </c>
      <c r="D37" s="9" t="s">
        <v>25</v>
      </c>
      <c r="E37" s="9">
        <v>245.46</v>
      </c>
      <c r="F37" s="9">
        <v>9</v>
      </c>
      <c r="G37" s="9" t="s">
        <v>35</v>
      </c>
      <c r="H37" s="9">
        <v>1141.52</v>
      </c>
      <c r="I37" s="9">
        <v>1550.19</v>
      </c>
      <c r="J37" s="9" t="s">
        <v>30</v>
      </c>
      <c r="K37" s="9">
        <v>0.28000000000000003</v>
      </c>
      <c r="L37" s="9" t="s">
        <v>31</v>
      </c>
      <c r="M37" s="9" t="s">
        <v>22</v>
      </c>
      <c r="N37" s="9" t="s">
        <v>44</v>
      </c>
      <c r="O37" s="9"/>
    </row>
    <row r="38" spans="1:15" x14ac:dyDescent="0.25">
      <c r="A38" s="9">
        <v>1039</v>
      </c>
      <c r="B38" s="20">
        <v>45149</v>
      </c>
      <c r="C38" s="9" t="s">
        <v>38</v>
      </c>
      <c r="D38" s="9" t="s">
        <v>34</v>
      </c>
      <c r="E38" s="9">
        <v>3853.03</v>
      </c>
      <c r="F38" s="9">
        <v>32</v>
      </c>
      <c r="G38" s="9" t="s">
        <v>16</v>
      </c>
      <c r="H38" s="9">
        <v>970.51</v>
      </c>
      <c r="I38" s="9">
        <v>1330.84</v>
      </c>
      <c r="J38" s="9" t="s">
        <v>17</v>
      </c>
      <c r="K38" s="9">
        <v>0.06</v>
      </c>
      <c r="L38" s="9" t="s">
        <v>18</v>
      </c>
      <c r="M38" s="9" t="s">
        <v>22</v>
      </c>
      <c r="N38" s="9" t="s">
        <v>48</v>
      </c>
      <c r="O38" s="9"/>
    </row>
    <row r="39" spans="1:15" x14ac:dyDescent="0.25">
      <c r="A39" s="9">
        <v>1018</v>
      </c>
      <c r="B39" s="20">
        <v>44932</v>
      </c>
      <c r="C39" s="9" t="s">
        <v>38</v>
      </c>
      <c r="D39" s="9" t="s">
        <v>34</v>
      </c>
      <c r="E39" s="9">
        <v>3439.72</v>
      </c>
      <c r="F39" s="9">
        <v>15</v>
      </c>
      <c r="G39" s="9" t="s">
        <v>29</v>
      </c>
      <c r="H39" s="9">
        <v>4756.55</v>
      </c>
      <c r="I39" s="9">
        <v>4888.46</v>
      </c>
      <c r="J39" s="9" t="s">
        <v>30</v>
      </c>
      <c r="K39" s="9">
        <v>0.28999999999999998</v>
      </c>
      <c r="L39" s="9" t="s">
        <v>31</v>
      </c>
      <c r="M39" s="9" t="s">
        <v>19</v>
      </c>
      <c r="N39" s="9" t="s">
        <v>48</v>
      </c>
      <c r="O39" s="9"/>
    </row>
    <row r="40" spans="1:15" x14ac:dyDescent="0.25">
      <c r="A40" s="9">
        <v>1004</v>
      </c>
      <c r="B40" s="20">
        <v>45248</v>
      </c>
      <c r="C40" s="9" t="s">
        <v>42</v>
      </c>
      <c r="D40" s="9" t="s">
        <v>34</v>
      </c>
      <c r="E40" s="9">
        <v>291.33999999999997</v>
      </c>
      <c r="F40" s="9">
        <v>12</v>
      </c>
      <c r="G40" s="9" t="s">
        <v>16</v>
      </c>
      <c r="H40" s="9">
        <v>1088.99</v>
      </c>
      <c r="I40" s="9">
        <v>1545</v>
      </c>
      <c r="J40" s="9" t="s">
        <v>17</v>
      </c>
      <c r="K40" s="9">
        <v>0.04</v>
      </c>
      <c r="L40" s="9" t="s">
        <v>27</v>
      </c>
      <c r="M40" s="9" t="s">
        <v>22</v>
      </c>
      <c r="N40" s="9" t="s">
        <v>52</v>
      </c>
      <c r="O40" s="9"/>
    </row>
    <row r="41" spans="1:15" x14ac:dyDescent="0.25">
      <c r="A41" s="9">
        <v>1014</v>
      </c>
      <c r="B41" s="20">
        <v>45146</v>
      </c>
      <c r="C41" s="9" t="s">
        <v>24</v>
      </c>
      <c r="D41" s="9" t="s">
        <v>15</v>
      </c>
      <c r="E41" s="9">
        <v>1331.25</v>
      </c>
      <c r="F41" s="9">
        <v>33</v>
      </c>
      <c r="G41" s="9" t="s">
        <v>35</v>
      </c>
      <c r="H41" s="9">
        <v>1341.55</v>
      </c>
      <c r="I41" s="9">
        <v>1427.21</v>
      </c>
      <c r="J41" s="9" t="s">
        <v>17</v>
      </c>
      <c r="K41" s="9">
        <v>0.15</v>
      </c>
      <c r="L41" s="9" t="s">
        <v>31</v>
      </c>
      <c r="M41" s="9" t="s">
        <v>19</v>
      </c>
      <c r="N41" s="9" t="s">
        <v>45</v>
      </c>
      <c r="O41" s="9"/>
    </row>
    <row r="42" spans="1:15" x14ac:dyDescent="0.25">
      <c r="A42" s="9">
        <v>1009</v>
      </c>
      <c r="B42" s="20">
        <v>45001</v>
      </c>
      <c r="C42" s="9" t="s">
        <v>24</v>
      </c>
      <c r="D42" s="9" t="s">
        <v>21</v>
      </c>
      <c r="E42" s="9">
        <v>4195.0600000000004</v>
      </c>
      <c r="F42" s="9">
        <v>45</v>
      </c>
      <c r="G42" s="9" t="s">
        <v>16</v>
      </c>
      <c r="H42" s="9">
        <v>4849.6000000000004</v>
      </c>
      <c r="I42" s="9">
        <v>5166.72</v>
      </c>
      <c r="J42" s="9" t="s">
        <v>17</v>
      </c>
      <c r="K42" s="9">
        <v>0.25</v>
      </c>
      <c r="L42" s="9" t="s">
        <v>31</v>
      </c>
      <c r="M42" s="9" t="s">
        <v>19</v>
      </c>
      <c r="N42" s="9" t="s">
        <v>47</v>
      </c>
      <c r="O42" s="9"/>
    </row>
    <row r="43" spans="1:15" x14ac:dyDescent="0.25">
      <c r="A43" s="9">
        <v>1090</v>
      </c>
      <c r="B43" s="20">
        <v>44930</v>
      </c>
      <c r="C43" s="9" t="s">
        <v>38</v>
      </c>
      <c r="D43" s="9" t="s">
        <v>15</v>
      </c>
      <c r="E43" s="9">
        <v>4979.3599999999997</v>
      </c>
      <c r="F43" s="9">
        <v>14</v>
      </c>
      <c r="G43" s="9" t="s">
        <v>35</v>
      </c>
      <c r="H43" s="9">
        <v>3686.81</v>
      </c>
      <c r="I43" s="9">
        <v>3710.92</v>
      </c>
      <c r="J43" s="9" t="s">
        <v>30</v>
      </c>
      <c r="K43" s="9">
        <v>0.1</v>
      </c>
      <c r="L43" s="9" t="s">
        <v>27</v>
      </c>
      <c r="M43" s="9" t="s">
        <v>22</v>
      </c>
      <c r="N43" s="9" t="s">
        <v>40</v>
      </c>
      <c r="O43" s="9"/>
    </row>
    <row r="44" spans="1:15" x14ac:dyDescent="0.25">
      <c r="A44" s="9">
        <v>1084</v>
      </c>
      <c r="B44" s="20">
        <v>45261</v>
      </c>
      <c r="C44" s="9" t="s">
        <v>33</v>
      </c>
      <c r="D44" s="9" t="s">
        <v>21</v>
      </c>
      <c r="E44" s="9">
        <v>4102.47</v>
      </c>
      <c r="F44" s="9">
        <v>8</v>
      </c>
      <c r="G44" s="9" t="s">
        <v>16</v>
      </c>
      <c r="H44" s="9">
        <v>3513</v>
      </c>
      <c r="I44" s="9">
        <v>3838.42</v>
      </c>
      <c r="J44" s="9" t="s">
        <v>17</v>
      </c>
      <c r="K44" s="9">
        <v>0.13</v>
      </c>
      <c r="L44" s="9" t="s">
        <v>27</v>
      </c>
      <c r="M44" s="9" t="s">
        <v>19</v>
      </c>
      <c r="N44" s="9" t="s">
        <v>37</v>
      </c>
      <c r="O44" s="9"/>
    </row>
    <row r="45" spans="1:15" x14ac:dyDescent="0.25">
      <c r="A45" s="9">
        <v>1071</v>
      </c>
      <c r="B45" s="20">
        <v>45060</v>
      </c>
      <c r="C45" s="9" t="s">
        <v>14</v>
      </c>
      <c r="D45" s="9" t="s">
        <v>25</v>
      </c>
      <c r="E45" s="9">
        <v>5356.28</v>
      </c>
      <c r="F45" s="9">
        <v>8</v>
      </c>
      <c r="G45" s="9" t="s">
        <v>35</v>
      </c>
      <c r="H45" s="9">
        <v>4271.99</v>
      </c>
      <c r="I45" s="9">
        <v>4417.79</v>
      </c>
      <c r="J45" s="9" t="s">
        <v>17</v>
      </c>
      <c r="K45" s="9">
        <v>0.04</v>
      </c>
      <c r="L45" s="9" t="s">
        <v>18</v>
      </c>
      <c r="M45" s="9" t="s">
        <v>19</v>
      </c>
      <c r="N45" s="9" t="s">
        <v>32</v>
      </c>
      <c r="O45" s="9"/>
    </row>
    <row r="46" spans="1:15" x14ac:dyDescent="0.25">
      <c r="A46" s="9">
        <v>1044</v>
      </c>
      <c r="B46" s="20">
        <v>45044</v>
      </c>
      <c r="C46" s="9" t="s">
        <v>33</v>
      </c>
      <c r="D46" s="9" t="s">
        <v>25</v>
      </c>
      <c r="E46" s="9">
        <v>5991.8</v>
      </c>
      <c r="F46" s="9">
        <v>27</v>
      </c>
      <c r="G46" s="9" t="s">
        <v>16</v>
      </c>
      <c r="H46" s="9">
        <v>623.32000000000005</v>
      </c>
      <c r="I46" s="9">
        <v>853.66</v>
      </c>
      <c r="J46" s="9" t="s">
        <v>17</v>
      </c>
      <c r="K46" s="9">
        <v>0.04</v>
      </c>
      <c r="L46" s="9" t="s">
        <v>18</v>
      </c>
      <c r="M46" s="9" t="s">
        <v>19</v>
      </c>
      <c r="N46" s="9" t="s">
        <v>44</v>
      </c>
      <c r="O46" s="9"/>
    </row>
    <row r="47" spans="1:15" x14ac:dyDescent="0.25">
      <c r="A47" s="9">
        <v>1008</v>
      </c>
      <c r="B47" s="20">
        <v>45020</v>
      </c>
      <c r="C47" s="9" t="s">
        <v>14</v>
      </c>
      <c r="D47" s="9" t="s">
        <v>34</v>
      </c>
      <c r="E47" s="9">
        <v>198.25</v>
      </c>
      <c r="F47" s="9">
        <v>12</v>
      </c>
      <c r="G47" s="9" t="s">
        <v>35</v>
      </c>
      <c r="H47" s="9">
        <v>3544.48</v>
      </c>
      <c r="I47" s="9">
        <v>3723.66</v>
      </c>
      <c r="J47" s="9" t="s">
        <v>17</v>
      </c>
      <c r="K47" s="9">
        <v>0.19</v>
      </c>
      <c r="L47" s="9" t="s">
        <v>18</v>
      </c>
      <c r="M47" s="9" t="s">
        <v>19</v>
      </c>
      <c r="N47" s="9" t="s">
        <v>46</v>
      </c>
      <c r="O47" s="9"/>
    </row>
    <row r="48" spans="1:15" x14ac:dyDescent="0.25">
      <c r="A48" s="9">
        <v>1035</v>
      </c>
      <c r="B48" s="20">
        <v>44988</v>
      </c>
      <c r="C48" s="9" t="s">
        <v>38</v>
      </c>
      <c r="D48" s="9" t="s">
        <v>21</v>
      </c>
      <c r="E48" s="9">
        <v>4694.54</v>
      </c>
      <c r="F48" s="9">
        <v>1</v>
      </c>
      <c r="G48" s="9" t="s">
        <v>26</v>
      </c>
      <c r="H48" s="9">
        <v>2543.2600000000002</v>
      </c>
      <c r="I48" s="9">
        <v>2637.91</v>
      </c>
      <c r="J48" s="9" t="s">
        <v>17</v>
      </c>
      <c r="K48" s="9">
        <v>0.2</v>
      </c>
      <c r="L48" s="9" t="s">
        <v>31</v>
      </c>
      <c r="M48" s="9" t="s">
        <v>19</v>
      </c>
      <c r="N48" s="9" t="s">
        <v>41</v>
      </c>
      <c r="O48" s="9"/>
    </row>
    <row r="49" spans="1:15" x14ac:dyDescent="0.25">
      <c r="A49" s="9">
        <v>1078</v>
      </c>
      <c r="B49" s="20">
        <v>45120</v>
      </c>
      <c r="C49" s="9" t="s">
        <v>14</v>
      </c>
      <c r="D49" s="9" t="s">
        <v>21</v>
      </c>
      <c r="E49" s="9">
        <v>9638.64</v>
      </c>
      <c r="F49" s="9">
        <v>43</v>
      </c>
      <c r="G49" s="9" t="s">
        <v>16</v>
      </c>
      <c r="H49" s="9">
        <v>4154.3</v>
      </c>
      <c r="I49" s="9">
        <v>4469.07</v>
      </c>
      <c r="J49" s="9" t="s">
        <v>17</v>
      </c>
      <c r="K49" s="9">
        <v>0.23</v>
      </c>
      <c r="L49" s="9" t="s">
        <v>18</v>
      </c>
      <c r="M49" s="9" t="s">
        <v>22</v>
      </c>
      <c r="N49" s="9" t="s">
        <v>23</v>
      </c>
      <c r="O49" s="9"/>
    </row>
    <row r="50" spans="1:15" x14ac:dyDescent="0.25">
      <c r="A50" s="9">
        <v>1081</v>
      </c>
      <c r="B50" s="20">
        <v>45261</v>
      </c>
      <c r="C50" s="9" t="s">
        <v>24</v>
      </c>
      <c r="D50" s="9" t="s">
        <v>21</v>
      </c>
      <c r="E50" s="9">
        <v>5238.42</v>
      </c>
      <c r="F50" s="9">
        <v>40</v>
      </c>
      <c r="G50" s="9" t="s">
        <v>16</v>
      </c>
      <c r="H50" s="9">
        <v>2565.3000000000002</v>
      </c>
      <c r="I50" s="9">
        <v>3007.47</v>
      </c>
      <c r="J50" s="9" t="s">
        <v>17</v>
      </c>
      <c r="K50" s="9">
        <v>0.17</v>
      </c>
      <c r="L50" s="9" t="s">
        <v>31</v>
      </c>
      <c r="M50" s="9" t="s">
        <v>22</v>
      </c>
      <c r="N50" s="9" t="s">
        <v>47</v>
      </c>
      <c r="O50" s="9"/>
    </row>
    <row r="51" spans="1:15" x14ac:dyDescent="0.25">
      <c r="A51" s="9">
        <v>1036</v>
      </c>
      <c r="B51" s="20">
        <v>45129</v>
      </c>
      <c r="C51" s="9" t="s">
        <v>42</v>
      </c>
      <c r="D51" s="9" t="s">
        <v>34</v>
      </c>
      <c r="E51" s="9">
        <v>6807.67</v>
      </c>
      <c r="F51" s="9">
        <v>42</v>
      </c>
      <c r="G51" s="9" t="s">
        <v>29</v>
      </c>
      <c r="H51" s="9">
        <v>3120.19</v>
      </c>
      <c r="I51" s="9">
        <v>3600.14</v>
      </c>
      <c r="J51" s="9" t="s">
        <v>17</v>
      </c>
      <c r="K51" s="9">
        <v>0.19</v>
      </c>
      <c r="L51" s="9" t="s">
        <v>31</v>
      </c>
      <c r="M51" s="9" t="s">
        <v>22</v>
      </c>
      <c r="N51" s="9" t="s">
        <v>52</v>
      </c>
      <c r="O51" s="9"/>
    </row>
    <row r="52" spans="1:15" x14ac:dyDescent="0.25">
      <c r="A52" s="9">
        <v>1050</v>
      </c>
      <c r="B52" s="20">
        <v>44952</v>
      </c>
      <c r="C52" s="9" t="s">
        <v>42</v>
      </c>
      <c r="D52" s="9" t="s">
        <v>34</v>
      </c>
      <c r="E52" s="9">
        <v>3187.45</v>
      </c>
      <c r="F52" s="9">
        <v>11</v>
      </c>
      <c r="G52" s="9" t="s">
        <v>29</v>
      </c>
      <c r="H52" s="9">
        <v>2414.8200000000002</v>
      </c>
      <c r="I52" s="9">
        <v>2519.0700000000002</v>
      </c>
      <c r="J52" s="9" t="s">
        <v>17</v>
      </c>
      <c r="K52" s="9">
        <v>0</v>
      </c>
      <c r="L52" s="9" t="s">
        <v>18</v>
      </c>
      <c r="M52" s="9" t="s">
        <v>19</v>
      </c>
      <c r="N52" s="9" t="s">
        <v>52</v>
      </c>
      <c r="O52" s="9"/>
    </row>
    <row r="53" spans="1:15" x14ac:dyDescent="0.25">
      <c r="A53" s="9">
        <v>1006</v>
      </c>
      <c r="B53" s="20">
        <v>45099</v>
      </c>
      <c r="C53" s="9" t="s">
        <v>38</v>
      </c>
      <c r="D53" s="9" t="s">
        <v>25</v>
      </c>
      <c r="E53" s="9">
        <v>7762.51</v>
      </c>
      <c r="F53" s="9">
        <v>39</v>
      </c>
      <c r="G53" s="9" t="s">
        <v>35</v>
      </c>
      <c r="H53" s="9">
        <v>2416.89</v>
      </c>
      <c r="I53" s="9">
        <v>2778.3999999999901</v>
      </c>
      <c r="J53" s="9" t="s">
        <v>17</v>
      </c>
      <c r="K53" s="9">
        <v>0.05</v>
      </c>
      <c r="L53" s="9" t="s">
        <v>18</v>
      </c>
      <c r="M53" s="9" t="s">
        <v>19</v>
      </c>
      <c r="N53" s="9" t="s">
        <v>39</v>
      </c>
      <c r="O53" s="9"/>
    </row>
    <row r="54" spans="1:15" x14ac:dyDescent="0.25">
      <c r="A54" s="9">
        <v>1054</v>
      </c>
      <c r="B54" s="20">
        <v>45226</v>
      </c>
      <c r="C54" s="9" t="s">
        <v>24</v>
      </c>
      <c r="D54" s="9" t="s">
        <v>15</v>
      </c>
      <c r="E54" s="9">
        <v>7751.92</v>
      </c>
      <c r="F54" s="9">
        <v>43</v>
      </c>
      <c r="G54" s="9" t="s">
        <v>16</v>
      </c>
      <c r="H54" s="9">
        <v>3851.45</v>
      </c>
      <c r="I54" s="9">
        <v>4186.9799999999996</v>
      </c>
      <c r="J54" s="9" t="s">
        <v>17</v>
      </c>
      <c r="K54" s="9">
        <v>0.3</v>
      </c>
      <c r="L54" s="9" t="s">
        <v>31</v>
      </c>
      <c r="M54" s="9" t="s">
        <v>19</v>
      </c>
      <c r="N54" s="9" t="s">
        <v>45</v>
      </c>
      <c r="O54" s="9"/>
    </row>
    <row r="55" spans="1:15" x14ac:dyDescent="0.25">
      <c r="A55" s="9">
        <v>1063</v>
      </c>
      <c r="B55" s="20">
        <v>45059</v>
      </c>
      <c r="C55" s="9" t="s">
        <v>33</v>
      </c>
      <c r="D55" s="9" t="s">
        <v>21</v>
      </c>
      <c r="E55" s="9">
        <v>5260.83</v>
      </c>
      <c r="F55" s="9">
        <v>31</v>
      </c>
      <c r="G55" s="9" t="s">
        <v>35</v>
      </c>
      <c r="H55" s="9">
        <v>3161.4</v>
      </c>
      <c r="I55" s="9">
        <v>3339.66</v>
      </c>
      <c r="J55" s="9" t="s">
        <v>17</v>
      </c>
      <c r="K55" s="9">
        <v>0.02</v>
      </c>
      <c r="L55" s="9" t="s">
        <v>27</v>
      </c>
      <c r="M55" s="9" t="s">
        <v>19</v>
      </c>
      <c r="N55" s="9" t="s">
        <v>37</v>
      </c>
      <c r="O55" s="9"/>
    </row>
    <row r="56" spans="1:15" x14ac:dyDescent="0.25">
      <c r="A56" s="9">
        <v>1034</v>
      </c>
      <c r="B56" s="20">
        <v>45252</v>
      </c>
      <c r="C56" s="9" t="s">
        <v>24</v>
      </c>
      <c r="D56" s="9" t="s">
        <v>21</v>
      </c>
      <c r="E56" s="9">
        <v>9762.5400000000009</v>
      </c>
      <c r="F56" s="9">
        <v>17</v>
      </c>
      <c r="G56" s="9" t="s">
        <v>26</v>
      </c>
      <c r="H56" s="9">
        <v>3184.65</v>
      </c>
      <c r="I56" s="9">
        <v>3204.01</v>
      </c>
      <c r="J56" s="9" t="s">
        <v>30</v>
      </c>
      <c r="K56" s="9">
        <v>0.2</v>
      </c>
      <c r="L56" s="9" t="s">
        <v>27</v>
      </c>
      <c r="M56" s="9" t="s">
        <v>19</v>
      </c>
      <c r="N56" s="9" t="s">
        <v>47</v>
      </c>
      <c r="O56" s="9"/>
    </row>
    <row r="57" spans="1:15" x14ac:dyDescent="0.25">
      <c r="A57" s="9">
        <v>1074</v>
      </c>
      <c r="B57" s="20">
        <v>45044</v>
      </c>
      <c r="C57" s="9" t="s">
        <v>42</v>
      </c>
      <c r="D57" s="9" t="s">
        <v>15</v>
      </c>
      <c r="E57" s="9">
        <v>1342.95</v>
      </c>
      <c r="F57" s="9">
        <v>33</v>
      </c>
      <c r="G57" s="9" t="s">
        <v>29</v>
      </c>
      <c r="H57" s="9">
        <v>2278.9</v>
      </c>
      <c r="I57" s="9">
        <v>2626.9</v>
      </c>
      <c r="J57" s="9" t="s">
        <v>30</v>
      </c>
      <c r="K57" s="9">
        <v>0.05</v>
      </c>
      <c r="L57" s="9" t="s">
        <v>31</v>
      </c>
      <c r="M57" s="9" t="s">
        <v>19</v>
      </c>
      <c r="N57" s="9" t="s">
        <v>49</v>
      </c>
      <c r="O57" s="9"/>
    </row>
    <row r="58" spans="1:15" x14ac:dyDescent="0.25">
      <c r="A58" s="9">
        <v>1095</v>
      </c>
      <c r="B58" s="20">
        <v>45250</v>
      </c>
      <c r="C58" s="9" t="s">
        <v>42</v>
      </c>
      <c r="D58" s="9" t="s">
        <v>21</v>
      </c>
      <c r="E58" s="9">
        <v>267.77999999999997</v>
      </c>
      <c r="F58" s="9">
        <v>32</v>
      </c>
      <c r="G58" s="9" t="s">
        <v>35</v>
      </c>
      <c r="H58" s="9">
        <v>2678.99</v>
      </c>
      <c r="I58" s="9">
        <v>3152.2799999999902</v>
      </c>
      <c r="J58" s="9" t="s">
        <v>17</v>
      </c>
      <c r="K58" s="9">
        <v>0.22</v>
      </c>
      <c r="L58" s="9" t="s">
        <v>18</v>
      </c>
      <c r="M58" s="9" t="s">
        <v>22</v>
      </c>
      <c r="N58" s="9" t="s">
        <v>51</v>
      </c>
      <c r="O58" s="9"/>
    </row>
    <row r="59" spans="1:15" x14ac:dyDescent="0.25">
      <c r="A59" s="9">
        <v>1048</v>
      </c>
      <c r="B59" s="20">
        <v>45201</v>
      </c>
      <c r="C59" s="9" t="s">
        <v>24</v>
      </c>
      <c r="D59" s="9" t="s">
        <v>34</v>
      </c>
      <c r="E59" s="9">
        <v>7724.57</v>
      </c>
      <c r="F59" s="9">
        <v>29</v>
      </c>
      <c r="G59" s="9" t="s">
        <v>35</v>
      </c>
      <c r="H59" s="9">
        <v>3741.3</v>
      </c>
      <c r="I59" s="9">
        <v>4061.04</v>
      </c>
      <c r="J59" s="9" t="s">
        <v>17</v>
      </c>
      <c r="K59" s="9">
        <v>0.21</v>
      </c>
      <c r="L59" s="9" t="s">
        <v>31</v>
      </c>
      <c r="M59" s="9" t="s">
        <v>19</v>
      </c>
      <c r="N59" s="9" t="s">
        <v>50</v>
      </c>
      <c r="O59" s="9"/>
    </row>
    <row r="60" spans="1:15" x14ac:dyDescent="0.25">
      <c r="A60" s="9">
        <v>1040</v>
      </c>
      <c r="B60" s="20">
        <v>45138</v>
      </c>
      <c r="C60" s="9" t="s">
        <v>24</v>
      </c>
      <c r="D60" s="9" t="s">
        <v>34</v>
      </c>
      <c r="E60" s="9">
        <v>8090.84</v>
      </c>
      <c r="F60" s="9">
        <v>21</v>
      </c>
      <c r="G60" s="9" t="s">
        <v>29</v>
      </c>
      <c r="H60" s="9">
        <v>4138.41</v>
      </c>
      <c r="I60" s="9">
        <v>4361.7</v>
      </c>
      <c r="J60" s="9" t="s">
        <v>17</v>
      </c>
      <c r="K60" s="9">
        <v>7.0000000000000007E-2</v>
      </c>
      <c r="L60" s="9" t="s">
        <v>31</v>
      </c>
      <c r="M60" s="9" t="s">
        <v>22</v>
      </c>
      <c r="N60" s="9" t="s">
        <v>50</v>
      </c>
      <c r="O60" s="9"/>
    </row>
    <row r="61" spans="1:15" x14ac:dyDescent="0.25">
      <c r="A61" s="9">
        <v>1085</v>
      </c>
      <c r="B61" s="20">
        <v>45151</v>
      </c>
      <c r="C61" s="9" t="s">
        <v>42</v>
      </c>
      <c r="D61" s="9" t="s">
        <v>21</v>
      </c>
      <c r="E61" s="9">
        <v>1290.05</v>
      </c>
      <c r="F61" s="9">
        <v>21</v>
      </c>
      <c r="G61" s="9" t="s">
        <v>16</v>
      </c>
      <c r="H61" s="9">
        <v>3497.98</v>
      </c>
      <c r="I61" s="9">
        <v>3765.31</v>
      </c>
      <c r="J61" s="9" t="s">
        <v>30</v>
      </c>
      <c r="K61" s="9">
        <v>0.08</v>
      </c>
      <c r="L61" s="9" t="s">
        <v>18</v>
      </c>
      <c r="M61" s="9" t="s">
        <v>19</v>
      </c>
      <c r="N61" s="9" t="s">
        <v>51</v>
      </c>
      <c r="O61" s="9"/>
    </row>
    <row r="62" spans="1:15" x14ac:dyDescent="0.25">
      <c r="A62" s="9">
        <v>1082</v>
      </c>
      <c r="B62" s="20">
        <v>44946</v>
      </c>
      <c r="C62" s="9" t="s">
        <v>33</v>
      </c>
      <c r="D62" s="9" t="s">
        <v>34</v>
      </c>
      <c r="E62" s="9">
        <v>2729.27</v>
      </c>
      <c r="F62" s="9">
        <v>40</v>
      </c>
      <c r="G62" s="9" t="s">
        <v>35</v>
      </c>
      <c r="H62" s="9">
        <v>4624.16</v>
      </c>
      <c r="I62" s="9">
        <v>4731.9799999999996</v>
      </c>
      <c r="J62" s="9" t="s">
        <v>30</v>
      </c>
      <c r="K62" s="9">
        <v>0.2</v>
      </c>
      <c r="L62" s="9" t="s">
        <v>27</v>
      </c>
      <c r="M62" s="9" t="s">
        <v>22</v>
      </c>
      <c r="N62" s="9" t="s">
        <v>36</v>
      </c>
      <c r="O62" s="9"/>
    </row>
    <row r="63" spans="1:15" x14ac:dyDescent="0.25">
      <c r="A63" s="9">
        <v>1026</v>
      </c>
      <c r="B63" s="20">
        <v>45039</v>
      </c>
      <c r="C63" s="9" t="s">
        <v>38</v>
      </c>
      <c r="D63" s="9" t="s">
        <v>34</v>
      </c>
      <c r="E63" s="9">
        <v>273.77</v>
      </c>
      <c r="F63" s="9">
        <v>23</v>
      </c>
      <c r="G63" s="9" t="s">
        <v>29</v>
      </c>
      <c r="H63" s="9">
        <v>4110.6000000000004</v>
      </c>
      <c r="I63" s="9">
        <v>4488.37</v>
      </c>
      <c r="J63" s="9" t="s">
        <v>30</v>
      </c>
      <c r="K63" s="9">
        <v>0.12</v>
      </c>
      <c r="L63" s="9" t="s">
        <v>31</v>
      </c>
      <c r="M63" s="9" t="s">
        <v>19</v>
      </c>
      <c r="N63" s="9" t="s">
        <v>48</v>
      </c>
      <c r="O63" s="9"/>
    </row>
    <row r="64" spans="1:15" x14ac:dyDescent="0.25">
      <c r="A64" s="9">
        <v>1041</v>
      </c>
      <c r="B64" s="20">
        <v>45066</v>
      </c>
      <c r="C64" s="9" t="s">
        <v>38</v>
      </c>
      <c r="D64" s="9" t="s">
        <v>21</v>
      </c>
      <c r="E64" s="9">
        <v>3003.76</v>
      </c>
      <c r="F64" s="9">
        <v>6</v>
      </c>
      <c r="G64" s="9" t="s">
        <v>16</v>
      </c>
      <c r="H64" s="9">
        <v>2831.23</v>
      </c>
      <c r="I64" s="9">
        <v>3206.98</v>
      </c>
      <c r="J64" s="9" t="s">
        <v>17</v>
      </c>
      <c r="K64" s="9">
        <v>0.06</v>
      </c>
      <c r="L64" s="9" t="s">
        <v>27</v>
      </c>
      <c r="M64" s="9" t="s">
        <v>22</v>
      </c>
      <c r="N64" s="9" t="s">
        <v>41</v>
      </c>
      <c r="O64" s="9"/>
    </row>
    <row r="65" spans="1:15" x14ac:dyDescent="0.25">
      <c r="A65" s="9">
        <v>1029</v>
      </c>
      <c r="B65" s="20">
        <v>44973</v>
      </c>
      <c r="C65" s="9" t="s">
        <v>24</v>
      </c>
      <c r="D65" s="9" t="s">
        <v>25</v>
      </c>
      <c r="E65" s="9">
        <v>7754.1</v>
      </c>
      <c r="F65" s="9">
        <v>22</v>
      </c>
      <c r="G65" s="9" t="s">
        <v>26</v>
      </c>
      <c r="H65" s="9">
        <v>3373.46</v>
      </c>
      <c r="I65" s="9">
        <v>3454.76</v>
      </c>
      <c r="J65" s="9" t="s">
        <v>17</v>
      </c>
      <c r="K65" s="9">
        <v>0.22</v>
      </c>
      <c r="L65" s="9" t="s">
        <v>27</v>
      </c>
      <c r="M65" s="9" t="s">
        <v>22</v>
      </c>
      <c r="N65" s="9" t="s">
        <v>28</v>
      </c>
      <c r="O65" s="9"/>
    </row>
    <row r="66" spans="1:15" x14ac:dyDescent="0.25">
      <c r="A66" s="9">
        <v>1045</v>
      </c>
      <c r="B66" s="20">
        <v>44927</v>
      </c>
      <c r="C66" s="9" t="s">
        <v>38</v>
      </c>
      <c r="D66" s="9" t="s">
        <v>15</v>
      </c>
      <c r="E66" s="9">
        <v>5227.8100000000004</v>
      </c>
      <c r="F66" s="9">
        <v>38</v>
      </c>
      <c r="G66" s="9" t="s">
        <v>29</v>
      </c>
      <c r="H66" s="9">
        <v>4635.2299999999996</v>
      </c>
      <c r="I66" s="9">
        <v>5075.4399999999996</v>
      </c>
      <c r="J66" s="9" t="s">
        <v>17</v>
      </c>
      <c r="K66" s="9">
        <v>0.05</v>
      </c>
      <c r="L66" s="9" t="s">
        <v>18</v>
      </c>
      <c r="M66" s="9" t="s">
        <v>19</v>
      </c>
      <c r="N66" s="9" t="s">
        <v>40</v>
      </c>
      <c r="O66" s="9"/>
    </row>
    <row r="67" spans="1:15" x14ac:dyDescent="0.25">
      <c r="A67" s="9">
        <v>1065</v>
      </c>
      <c r="B67" s="20">
        <v>45016</v>
      </c>
      <c r="C67" s="9" t="s">
        <v>42</v>
      </c>
      <c r="D67" s="9" t="s">
        <v>34</v>
      </c>
      <c r="E67" s="9">
        <v>3546.15</v>
      </c>
      <c r="F67" s="9">
        <v>37</v>
      </c>
      <c r="G67" s="9" t="s">
        <v>35</v>
      </c>
      <c r="H67" s="9">
        <v>3114.88</v>
      </c>
      <c r="I67" s="9">
        <v>3256.78</v>
      </c>
      <c r="J67" s="9" t="s">
        <v>17</v>
      </c>
      <c r="K67" s="9">
        <v>0.26</v>
      </c>
      <c r="L67" s="9" t="s">
        <v>31</v>
      </c>
      <c r="M67" s="9" t="s">
        <v>19</v>
      </c>
      <c r="N67" s="9" t="s">
        <v>52</v>
      </c>
      <c r="O67" s="9"/>
    </row>
    <row r="68" spans="1:15" x14ac:dyDescent="0.25">
      <c r="A68" s="9">
        <v>1001</v>
      </c>
      <c r="B68" s="20">
        <v>45068</v>
      </c>
      <c r="C68" s="9" t="s">
        <v>42</v>
      </c>
      <c r="D68" s="9" t="s">
        <v>25</v>
      </c>
      <c r="E68" s="9">
        <v>3780.22</v>
      </c>
      <c r="F68" s="9">
        <v>45</v>
      </c>
      <c r="G68" s="9" t="s">
        <v>26</v>
      </c>
      <c r="H68" s="9">
        <v>4132.79</v>
      </c>
      <c r="I68" s="9">
        <v>4624.1000000000004</v>
      </c>
      <c r="J68" s="9" t="s">
        <v>30</v>
      </c>
      <c r="K68" s="9">
        <v>0.15</v>
      </c>
      <c r="L68" s="9" t="s">
        <v>31</v>
      </c>
      <c r="M68" s="9" t="s">
        <v>22</v>
      </c>
      <c r="N68" s="9" t="s">
        <v>43</v>
      </c>
      <c r="O68" s="9"/>
    </row>
    <row r="69" spans="1:15" x14ac:dyDescent="0.25">
      <c r="A69" s="9">
        <v>1011</v>
      </c>
      <c r="B69" s="20">
        <v>45246</v>
      </c>
      <c r="C69" s="9" t="s">
        <v>24</v>
      </c>
      <c r="D69" s="9" t="s">
        <v>34</v>
      </c>
      <c r="E69" s="9">
        <v>113.4</v>
      </c>
      <c r="F69" s="9">
        <v>8</v>
      </c>
      <c r="G69" s="9" t="s">
        <v>16</v>
      </c>
      <c r="H69" s="9">
        <v>3459.61</v>
      </c>
      <c r="I69" s="9">
        <v>3657.23</v>
      </c>
      <c r="J69" s="9" t="s">
        <v>17</v>
      </c>
      <c r="K69" s="9">
        <v>0.03</v>
      </c>
      <c r="L69" s="9" t="s">
        <v>27</v>
      </c>
      <c r="M69" s="9" t="s">
        <v>19</v>
      </c>
      <c r="N69" s="9" t="s">
        <v>50</v>
      </c>
      <c r="O69" s="9"/>
    </row>
    <row r="70" spans="1:15" x14ac:dyDescent="0.25">
      <c r="A70" s="9">
        <v>1005</v>
      </c>
      <c r="B70" s="20">
        <v>44964</v>
      </c>
      <c r="C70" s="9" t="s">
        <v>24</v>
      </c>
      <c r="D70" s="9" t="s">
        <v>34</v>
      </c>
      <c r="E70" s="9">
        <v>3068.03</v>
      </c>
      <c r="F70" s="9">
        <v>41</v>
      </c>
      <c r="G70" s="9" t="s">
        <v>16</v>
      </c>
      <c r="H70" s="9">
        <v>2782.08</v>
      </c>
      <c r="I70" s="9">
        <v>2879.24</v>
      </c>
      <c r="J70" s="9" t="s">
        <v>30</v>
      </c>
      <c r="K70" s="9">
        <v>0.21</v>
      </c>
      <c r="L70" s="9" t="s">
        <v>27</v>
      </c>
      <c r="M70" s="9" t="s">
        <v>19</v>
      </c>
      <c r="N70" s="9" t="s">
        <v>50</v>
      </c>
      <c r="O70" s="9"/>
    </row>
    <row r="71" spans="1:15" x14ac:dyDescent="0.25">
      <c r="A71" s="9">
        <v>1028</v>
      </c>
      <c r="B71" s="20">
        <v>45219</v>
      </c>
      <c r="C71" s="9" t="s">
        <v>24</v>
      </c>
      <c r="D71" s="9" t="s">
        <v>15</v>
      </c>
      <c r="E71" s="9">
        <v>6499.94</v>
      </c>
      <c r="F71" s="9">
        <v>49</v>
      </c>
      <c r="G71" s="9" t="s">
        <v>29</v>
      </c>
      <c r="H71" s="9">
        <v>1247.0999999999999</v>
      </c>
      <c r="I71" s="9">
        <v>1429.4399999999901</v>
      </c>
      <c r="J71" s="9" t="s">
        <v>30</v>
      </c>
      <c r="K71" s="9">
        <v>0.16</v>
      </c>
      <c r="L71" s="9" t="s">
        <v>18</v>
      </c>
      <c r="M71" s="9" t="s">
        <v>19</v>
      </c>
      <c r="N71" s="9" t="s">
        <v>45</v>
      </c>
      <c r="O71" s="9"/>
    </row>
    <row r="72" spans="1:15" x14ac:dyDescent="0.25">
      <c r="A72" s="9">
        <v>1012</v>
      </c>
      <c r="B72" s="20">
        <v>45065</v>
      </c>
      <c r="C72" s="9" t="s">
        <v>33</v>
      </c>
      <c r="D72" s="9" t="s">
        <v>34</v>
      </c>
      <c r="E72" s="9">
        <v>9744.52</v>
      </c>
      <c r="F72" s="9">
        <v>35</v>
      </c>
      <c r="G72" s="9" t="s">
        <v>29</v>
      </c>
      <c r="H72" s="9">
        <v>2158.69</v>
      </c>
      <c r="I72" s="9">
        <v>2384.38</v>
      </c>
      <c r="J72" s="9" t="s">
        <v>17</v>
      </c>
      <c r="K72" s="9">
        <v>0.09</v>
      </c>
      <c r="L72" s="9" t="s">
        <v>27</v>
      </c>
      <c r="M72" s="9" t="s">
        <v>22</v>
      </c>
      <c r="N72" s="9" t="s">
        <v>36</v>
      </c>
      <c r="O72" s="9"/>
    </row>
    <row r="73" spans="1:15" x14ac:dyDescent="0.25">
      <c r="A73" s="9">
        <v>1023</v>
      </c>
      <c r="B73" s="20">
        <v>45282</v>
      </c>
      <c r="C73" s="9" t="s">
        <v>38</v>
      </c>
      <c r="D73" s="9" t="s">
        <v>15</v>
      </c>
      <c r="E73" s="9">
        <v>8485.9</v>
      </c>
      <c r="F73" s="9">
        <v>11</v>
      </c>
      <c r="G73" s="9" t="s">
        <v>29</v>
      </c>
      <c r="H73" s="9">
        <v>4840.33</v>
      </c>
      <c r="I73" s="9">
        <v>4884.29</v>
      </c>
      <c r="J73" s="9" t="s">
        <v>30</v>
      </c>
      <c r="K73" s="9">
        <v>0.13</v>
      </c>
      <c r="L73" s="9" t="s">
        <v>18</v>
      </c>
      <c r="M73" s="9" t="s">
        <v>19</v>
      </c>
      <c r="N73" s="9" t="s">
        <v>40</v>
      </c>
      <c r="O73" s="9"/>
    </row>
    <row r="74" spans="1:15" x14ac:dyDescent="0.25">
      <c r="A74" s="9">
        <v>1037</v>
      </c>
      <c r="B74" s="20">
        <v>45259</v>
      </c>
      <c r="C74" s="9" t="s">
        <v>24</v>
      </c>
      <c r="D74" s="9" t="s">
        <v>15</v>
      </c>
      <c r="E74" s="9">
        <v>333.59</v>
      </c>
      <c r="F74" s="9">
        <v>24</v>
      </c>
      <c r="G74" s="9" t="s">
        <v>16</v>
      </c>
      <c r="H74" s="9">
        <v>3305.94</v>
      </c>
      <c r="I74" s="9">
        <v>3599.27</v>
      </c>
      <c r="J74" s="9" t="s">
        <v>30</v>
      </c>
      <c r="K74" s="9">
        <v>0.09</v>
      </c>
      <c r="L74" s="9" t="s">
        <v>31</v>
      </c>
      <c r="M74" s="9" t="s">
        <v>22</v>
      </c>
      <c r="N74" s="9" t="s">
        <v>45</v>
      </c>
      <c r="O74" s="9"/>
    </row>
    <row r="75" spans="1:15" x14ac:dyDescent="0.25">
      <c r="A75" s="9">
        <v>1099</v>
      </c>
      <c r="B75" s="20">
        <v>45185</v>
      </c>
      <c r="C75" s="9" t="s">
        <v>14</v>
      </c>
      <c r="D75" s="9" t="s">
        <v>15</v>
      </c>
      <c r="E75" s="9">
        <v>8995.75</v>
      </c>
      <c r="F75" s="9">
        <v>49</v>
      </c>
      <c r="G75" s="9" t="s">
        <v>26</v>
      </c>
      <c r="H75" s="9">
        <v>2843.76</v>
      </c>
      <c r="I75" s="9">
        <v>3146.6</v>
      </c>
      <c r="J75" s="9" t="s">
        <v>30</v>
      </c>
      <c r="K75" s="9">
        <v>0.08</v>
      </c>
      <c r="L75" s="9" t="s">
        <v>18</v>
      </c>
      <c r="M75" s="9" t="s">
        <v>22</v>
      </c>
      <c r="N75" s="9" t="s">
        <v>20</v>
      </c>
      <c r="O75" s="9"/>
    </row>
    <row r="76" spans="1:15" x14ac:dyDescent="0.25">
      <c r="A76" s="9">
        <v>1086</v>
      </c>
      <c r="B76" s="20">
        <v>45087</v>
      </c>
      <c r="C76" s="9" t="s">
        <v>14</v>
      </c>
      <c r="D76" s="9" t="s">
        <v>25</v>
      </c>
      <c r="E76" s="9">
        <v>7853.66</v>
      </c>
      <c r="F76" s="9">
        <v>21</v>
      </c>
      <c r="G76" s="9" t="s">
        <v>16</v>
      </c>
      <c r="H76" s="9">
        <v>4668.1400000000003</v>
      </c>
      <c r="I76" s="9">
        <v>5040.22</v>
      </c>
      <c r="J76" s="9" t="s">
        <v>30</v>
      </c>
      <c r="K76" s="9">
        <v>0.05</v>
      </c>
      <c r="L76" s="9" t="s">
        <v>27</v>
      </c>
      <c r="M76" s="9" t="s">
        <v>19</v>
      </c>
      <c r="N76" s="9" t="s">
        <v>32</v>
      </c>
      <c r="O76" s="9"/>
    </row>
    <row r="77" spans="1:15" x14ac:dyDescent="0.25">
      <c r="A77" s="9">
        <v>1027</v>
      </c>
      <c r="B77" s="20">
        <v>45104</v>
      </c>
      <c r="C77" s="9" t="s">
        <v>42</v>
      </c>
      <c r="D77" s="9" t="s">
        <v>21</v>
      </c>
      <c r="E77" s="9">
        <v>7825.72</v>
      </c>
      <c r="F77" s="9">
        <v>2</v>
      </c>
      <c r="G77" s="9" t="s">
        <v>35</v>
      </c>
      <c r="H77" s="9">
        <v>2953.23</v>
      </c>
      <c r="I77" s="9">
        <v>2977.52</v>
      </c>
      <c r="J77" s="9" t="s">
        <v>17</v>
      </c>
      <c r="K77" s="9">
        <v>0.11</v>
      </c>
      <c r="L77" s="9" t="s">
        <v>31</v>
      </c>
      <c r="M77" s="9" t="s">
        <v>22</v>
      </c>
      <c r="N77" s="9" t="s">
        <v>51</v>
      </c>
      <c r="O77" s="9"/>
    </row>
    <row r="78" spans="1:15" x14ac:dyDescent="0.25">
      <c r="A78" s="9">
        <v>1079</v>
      </c>
      <c r="B78" s="20">
        <v>44936</v>
      </c>
      <c r="C78" s="9" t="s">
        <v>38</v>
      </c>
      <c r="D78" s="9" t="s">
        <v>25</v>
      </c>
      <c r="E78" s="9">
        <v>4634.16</v>
      </c>
      <c r="F78" s="9">
        <v>40</v>
      </c>
      <c r="G78" s="9" t="s">
        <v>16</v>
      </c>
      <c r="H78" s="9">
        <v>2654.11</v>
      </c>
      <c r="I78" s="9">
        <v>2929.32</v>
      </c>
      <c r="J78" s="9" t="s">
        <v>17</v>
      </c>
      <c r="K78" s="9">
        <v>0.08</v>
      </c>
      <c r="L78" s="9" t="s">
        <v>18</v>
      </c>
      <c r="M78" s="9" t="s">
        <v>19</v>
      </c>
      <c r="N78" s="9" t="s">
        <v>39</v>
      </c>
      <c r="O78" s="9"/>
    </row>
    <row r="79" spans="1:15" x14ac:dyDescent="0.25">
      <c r="A79" s="9">
        <v>1077</v>
      </c>
      <c r="B79" s="20">
        <v>45187</v>
      </c>
      <c r="C79" s="9" t="s">
        <v>24</v>
      </c>
      <c r="D79" s="9" t="s">
        <v>21</v>
      </c>
      <c r="E79" s="9">
        <v>4040.25</v>
      </c>
      <c r="F79" s="9">
        <v>19</v>
      </c>
      <c r="G79" s="9" t="s">
        <v>35</v>
      </c>
      <c r="H79" s="9">
        <v>3808.59</v>
      </c>
      <c r="I79" s="9">
        <v>3844.51</v>
      </c>
      <c r="J79" s="9" t="s">
        <v>30</v>
      </c>
      <c r="K79" s="9">
        <v>0.21</v>
      </c>
      <c r="L79" s="9" t="s">
        <v>31</v>
      </c>
      <c r="M79" s="9" t="s">
        <v>19</v>
      </c>
      <c r="N79" s="9" t="s">
        <v>47</v>
      </c>
      <c r="O79" s="9"/>
    </row>
    <row r="80" spans="1:15" x14ac:dyDescent="0.25">
      <c r="A80" s="9">
        <v>1096</v>
      </c>
      <c r="B80" s="20">
        <v>45064</v>
      </c>
      <c r="C80" s="9" t="s">
        <v>14</v>
      </c>
      <c r="D80" s="9" t="s">
        <v>21</v>
      </c>
      <c r="E80" s="9">
        <v>3098.87</v>
      </c>
      <c r="F80" s="9">
        <v>39</v>
      </c>
      <c r="G80" s="9" t="s">
        <v>26</v>
      </c>
      <c r="H80" s="9">
        <v>3577.69</v>
      </c>
      <c r="I80" s="9">
        <v>3931.25</v>
      </c>
      <c r="J80" s="9" t="s">
        <v>17</v>
      </c>
      <c r="K80" s="9">
        <v>0.21</v>
      </c>
      <c r="L80" s="9" t="s">
        <v>18</v>
      </c>
      <c r="M80" s="9" t="s">
        <v>22</v>
      </c>
      <c r="N80" s="9" t="s">
        <v>23</v>
      </c>
      <c r="O80" s="9"/>
    </row>
    <row r="81" spans="1:15" x14ac:dyDescent="0.25">
      <c r="A81" s="9">
        <v>1094</v>
      </c>
      <c r="B81" s="20">
        <v>45098</v>
      </c>
      <c r="C81" s="9" t="s">
        <v>38</v>
      </c>
      <c r="D81" s="9" t="s">
        <v>15</v>
      </c>
      <c r="E81" s="9">
        <v>750.38</v>
      </c>
      <c r="F81" s="9">
        <v>28</v>
      </c>
      <c r="G81" s="9" t="s">
        <v>29</v>
      </c>
      <c r="H81" s="9">
        <v>1006.14</v>
      </c>
      <c r="I81" s="9">
        <v>1043.45</v>
      </c>
      <c r="J81" s="9" t="s">
        <v>30</v>
      </c>
      <c r="K81" s="9">
        <v>0.15</v>
      </c>
      <c r="L81" s="9" t="s">
        <v>27</v>
      </c>
      <c r="M81" s="9" t="s">
        <v>22</v>
      </c>
      <c r="N81" s="9" t="s">
        <v>40</v>
      </c>
      <c r="O81" s="9"/>
    </row>
    <row r="82" spans="1:15" x14ac:dyDescent="0.25">
      <c r="A82" s="9">
        <v>1043</v>
      </c>
      <c r="B82" s="20">
        <v>44939</v>
      </c>
      <c r="C82" s="9" t="s">
        <v>42</v>
      </c>
      <c r="D82" s="9" t="s">
        <v>34</v>
      </c>
      <c r="E82" s="9">
        <v>2359.5300000000002</v>
      </c>
      <c r="F82" s="9">
        <v>17</v>
      </c>
      <c r="G82" s="9" t="s">
        <v>29</v>
      </c>
      <c r="H82" s="9">
        <v>2382.98</v>
      </c>
      <c r="I82" s="9">
        <v>2839.73</v>
      </c>
      <c r="J82" s="9" t="s">
        <v>17</v>
      </c>
      <c r="K82" s="9">
        <v>0.23</v>
      </c>
      <c r="L82" s="9" t="s">
        <v>27</v>
      </c>
      <c r="M82" s="9" t="s">
        <v>22</v>
      </c>
      <c r="N82" s="9" t="s">
        <v>52</v>
      </c>
      <c r="O82" s="9"/>
    </row>
    <row r="83" spans="1:15" x14ac:dyDescent="0.25">
      <c r="A83" s="9">
        <v>1013</v>
      </c>
      <c r="B83" s="20">
        <v>45094</v>
      </c>
      <c r="C83" s="9" t="s">
        <v>33</v>
      </c>
      <c r="D83" s="9" t="s">
        <v>15</v>
      </c>
      <c r="E83" s="9">
        <v>2541.38</v>
      </c>
      <c r="F83" s="9">
        <v>6</v>
      </c>
      <c r="G83" s="9" t="s">
        <v>16</v>
      </c>
      <c r="H83" s="9">
        <v>2388.9499999999998</v>
      </c>
      <c r="I83" s="9">
        <v>2742.97</v>
      </c>
      <c r="J83" s="9" t="s">
        <v>17</v>
      </c>
      <c r="K83" s="9">
        <v>0.25</v>
      </c>
      <c r="L83" s="9" t="s">
        <v>31</v>
      </c>
      <c r="M83" s="9" t="s">
        <v>22</v>
      </c>
      <c r="N83" s="9" t="s">
        <v>53</v>
      </c>
      <c r="O83" s="9"/>
    </row>
    <row r="84" spans="1:15" x14ac:dyDescent="0.25">
      <c r="A84" s="9">
        <v>1032</v>
      </c>
      <c r="B84" s="20">
        <v>45056</v>
      </c>
      <c r="C84" s="9" t="s">
        <v>38</v>
      </c>
      <c r="D84" s="9" t="s">
        <v>34</v>
      </c>
      <c r="E84" s="9">
        <v>4892.3599999999997</v>
      </c>
      <c r="F84" s="9">
        <v>19</v>
      </c>
      <c r="G84" s="9" t="s">
        <v>29</v>
      </c>
      <c r="H84" s="9">
        <v>1922.21</v>
      </c>
      <c r="I84" s="9">
        <v>2180.83</v>
      </c>
      <c r="J84" s="9" t="s">
        <v>17</v>
      </c>
      <c r="K84" s="9">
        <v>0.17</v>
      </c>
      <c r="L84" s="9" t="s">
        <v>31</v>
      </c>
      <c r="M84" s="9" t="s">
        <v>22</v>
      </c>
      <c r="N84" s="9" t="s">
        <v>48</v>
      </c>
      <c r="O84" s="9"/>
    </row>
    <row r="85" spans="1:15" x14ac:dyDescent="0.25">
      <c r="A85" s="9">
        <v>1066</v>
      </c>
      <c r="B85" s="20">
        <v>45010</v>
      </c>
      <c r="C85" s="9" t="s">
        <v>38</v>
      </c>
      <c r="D85" s="9" t="s">
        <v>21</v>
      </c>
      <c r="E85" s="9">
        <v>7499.7</v>
      </c>
      <c r="F85" s="9">
        <v>38</v>
      </c>
      <c r="G85" s="9" t="s">
        <v>26</v>
      </c>
      <c r="H85" s="9">
        <v>2610.6</v>
      </c>
      <c r="I85" s="9">
        <v>2836.94</v>
      </c>
      <c r="J85" s="9" t="s">
        <v>17</v>
      </c>
      <c r="K85" s="9">
        <v>0.19</v>
      </c>
      <c r="L85" s="9" t="s">
        <v>31</v>
      </c>
      <c r="M85" s="9" t="s">
        <v>19</v>
      </c>
      <c r="N85" s="9" t="s">
        <v>41</v>
      </c>
      <c r="O85" s="9"/>
    </row>
    <row r="86" spans="1:15" x14ac:dyDescent="0.25">
      <c r="A86" s="9">
        <v>1057</v>
      </c>
      <c r="B86" s="20">
        <v>45247</v>
      </c>
      <c r="C86" s="9" t="s">
        <v>33</v>
      </c>
      <c r="D86" s="9" t="s">
        <v>15</v>
      </c>
      <c r="E86" s="9">
        <v>4790.72</v>
      </c>
      <c r="F86" s="9">
        <v>28</v>
      </c>
      <c r="G86" s="9" t="s">
        <v>29</v>
      </c>
      <c r="H86" s="9">
        <v>2094.88</v>
      </c>
      <c r="I86" s="9">
        <v>2168.91</v>
      </c>
      <c r="J86" s="9" t="s">
        <v>17</v>
      </c>
      <c r="K86" s="9">
        <v>0.08</v>
      </c>
      <c r="L86" s="9" t="s">
        <v>18</v>
      </c>
      <c r="M86" s="9" t="s">
        <v>22</v>
      </c>
      <c r="N86" s="9" t="s">
        <v>53</v>
      </c>
      <c r="O86" s="9"/>
    </row>
    <row r="87" spans="1:15" x14ac:dyDescent="0.25">
      <c r="A87" s="9">
        <v>1097</v>
      </c>
      <c r="B87" s="20">
        <v>45245</v>
      </c>
      <c r="C87" s="9" t="s">
        <v>38</v>
      </c>
      <c r="D87" s="9" t="s">
        <v>34</v>
      </c>
      <c r="E87" s="9">
        <v>672.66</v>
      </c>
      <c r="F87" s="9">
        <v>2</v>
      </c>
      <c r="G87" s="9" t="s">
        <v>16</v>
      </c>
      <c r="H87" s="9">
        <v>1036.76</v>
      </c>
      <c r="I87" s="9">
        <v>1189.3499999999999</v>
      </c>
      <c r="J87" s="9" t="s">
        <v>30</v>
      </c>
      <c r="K87" s="9">
        <v>0.27</v>
      </c>
      <c r="L87" s="9" t="s">
        <v>27</v>
      </c>
      <c r="M87" s="9" t="s">
        <v>19</v>
      </c>
      <c r="N87" s="9" t="s">
        <v>48</v>
      </c>
      <c r="O87" s="9"/>
    </row>
    <row r="88" spans="1:15" x14ac:dyDescent="0.25">
      <c r="A88" s="9">
        <v>1070</v>
      </c>
      <c r="B88" s="20">
        <v>45027</v>
      </c>
      <c r="C88" s="9" t="s">
        <v>42</v>
      </c>
      <c r="D88" s="9" t="s">
        <v>25</v>
      </c>
      <c r="E88" s="9">
        <v>9582.1200000000008</v>
      </c>
      <c r="F88" s="9">
        <v>38</v>
      </c>
      <c r="G88" s="9" t="s">
        <v>26</v>
      </c>
      <c r="H88" s="9">
        <v>2091.21</v>
      </c>
      <c r="I88" s="9">
        <v>2527</v>
      </c>
      <c r="J88" s="9" t="s">
        <v>17</v>
      </c>
      <c r="K88" s="9">
        <v>0.01</v>
      </c>
      <c r="L88" s="9" t="s">
        <v>31</v>
      </c>
      <c r="M88" s="9" t="s">
        <v>19</v>
      </c>
      <c r="N88" s="9" t="s">
        <v>43</v>
      </c>
      <c r="O88" s="9"/>
    </row>
    <row r="89" spans="1:15" x14ac:dyDescent="0.25">
      <c r="A89" s="9">
        <v>1056</v>
      </c>
      <c r="B89" s="20">
        <v>45255</v>
      </c>
      <c r="C89" s="9" t="s">
        <v>42</v>
      </c>
      <c r="D89" s="9" t="s">
        <v>34</v>
      </c>
      <c r="E89" s="9">
        <v>9432.9699999999993</v>
      </c>
      <c r="F89" s="9">
        <v>37</v>
      </c>
      <c r="G89" s="9" t="s">
        <v>35</v>
      </c>
      <c r="H89" s="9">
        <v>407.77</v>
      </c>
      <c r="I89" s="9">
        <v>860.95</v>
      </c>
      <c r="J89" s="9" t="s">
        <v>30</v>
      </c>
      <c r="K89" s="9">
        <v>0.1</v>
      </c>
      <c r="L89" s="9" t="s">
        <v>31</v>
      </c>
      <c r="M89" s="9" t="s">
        <v>22</v>
      </c>
      <c r="N89" s="9" t="s">
        <v>52</v>
      </c>
      <c r="O89" s="9"/>
    </row>
    <row r="90" spans="1:15" x14ac:dyDescent="0.25">
      <c r="A90" s="9">
        <v>1019</v>
      </c>
      <c r="B90" s="20">
        <v>45199</v>
      </c>
      <c r="C90" s="9" t="s">
        <v>33</v>
      </c>
      <c r="D90" s="9" t="s">
        <v>15</v>
      </c>
      <c r="E90" s="9">
        <v>7873.38</v>
      </c>
      <c r="F90" s="9">
        <v>4</v>
      </c>
      <c r="G90" s="9" t="s">
        <v>16</v>
      </c>
      <c r="H90" s="9">
        <v>2900.14</v>
      </c>
      <c r="I90" s="9">
        <v>2910.5099999999902</v>
      </c>
      <c r="J90" s="9" t="s">
        <v>30</v>
      </c>
      <c r="K90" s="9">
        <v>0.22</v>
      </c>
      <c r="L90" s="9" t="s">
        <v>31</v>
      </c>
      <c r="M90" s="9" t="s">
        <v>22</v>
      </c>
      <c r="N90" s="9" t="s">
        <v>53</v>
      </c>
      <c r="O90" s="9"/>
    </row>
    <row r="91" spans="1:15" x14ac:dyDescent="0.25">
      <c r="A91" s="9">
        <v>1068</v>
      </c>
      <c r="B91" s="20">
        <v>45191</v>
      </c>
      <c r="C91" s="9" t="s">
        <v>24</v>
      </c>
      <c r="D91" s="9" t="s">
        <v>25</v>
      </c>
      <c r="E91" s="9">
        <v>9914.15</v>
      </c>
      <c r="F91" s="9">
        <v>22</v>
      </c>
      <c r="G91" s="9" t="s">
        <v>35</v>
      </c>
      <c r="H91" s="9">
        <v>4275.59</v>
      </c>
      <c r="I91" s="9">
        <v>4576.72</v>
      </c>
      <c r="J91" s="9" t="s">
        <v>17</v>
      </c>
      <c r="K91" s="9">
        <v>0.02</v>
      </c>
      <c r="L91" s="9" t="s">
        <v>18</v>
      </c>
      <c r="M91" s="9" t="s">
        <v>22</v>
      </c>
      <c r="N91" s="9" t="s">
        <v>28</v>
      </c>
      <c r="O91" s="9"/>
    </row>
    <row r="92" spans="1:15" x14ac:dyDescent="0.25">
      <c r="A92" s="9">
        <v>1017</v>
      </c>
      <c r="B92" s="20">
        <v>44964</v>
      </c>
      <c r="C92" s="9" t="s">
        <v>14</v>
      </c>
      <c r="D92" s="9" t="s">
        <v>34</v>
      </c>
      <c r="E92" s="9">
        <v>5490.38</v>
      </c>
      <c r="F92" s="9">
        <v>26</v>
      </c>
      <c r="G92" s="9" t="s">
        <v>26</v>
      </c>
      <c r="H92" s="9">
        <v>3640.17</v>
      </c>
      <c r="I92" s="9">
        <v>4002.63</v>
      </c>
      <c r="J92" s="9" t="s">
        <v>30</v>
      </c>
      <c r="K92" s="9">
        <v>0.05</v>
      </c>
      <c r="L92" s="9" t="s">
        <v>31</v>
      </c>
      <c r="M92" s="9" t="s">
        <v>22</v>
      </c>
      <c r="N92" s="9" t="s">
        <v>46</v>
      </c>
      <c r="O92" s="9"/>
    </row>
    <row r="93" spans="1:15" x14ac:dyDescent="0.25">
      <c r="A93" s="9">
        <v>1069</v>
      </c>
      <c r="B93" s="20">
        <v>45020</v>
      </c>
      <c r="C93" s="9" t="s">
        <v>24</v>
      </c>
      <c r="D93" s="9" t="s">
        <v>34</v>
      </c>
      <c r="E93" s="9">
        <v>9631.41</v>
      </c>
      <c r="F93" s="9">
        <v>49</v>
      </c>
      <c r="G93" s="9" t="s">
        <v>16</v>
      </c>
      <c r="H93" s="9">
        <v>1833.95</v>
      </c>
      <c r="I93" s="9">
        <v>2147.14</v>
      </c>
      <c r="J93" s="9" t="s">
        <v>17</v>
      </c>
      <c r="K93" s="9">
        <v>0.18</v>
      </c>
      <c r="L93" s="9" t="s">
        <v>31</v>
      </c>
      <c r="M93" s="9" t="s">
        <v>22</v>
      </c>
      <c r="N93" s="9" t="s">
        <v>50</v>
      </c>
      <c r="O93" s="9"/>
    </row>
    <row r="94" spans="1:15" x14ac:dyDescent="0.25">
      <c r="A94" s="9">
        <v>1098</v>
      </c>
      <c r="B94" s="20">
        <v>45021</v>
      </c>
      <c r="C94" s="9" t="s">
        <v>38</v>
      </c>
      <c r="D94" s="9" t="s">
        <v>34</v>
      </c>
      <c r="E94" s="9">
        <v>848.49</v>
      </c>
      <c r="F94" s="9">
        <v>43</v>
      </c>
      <c r="G94" s="9" t="s">
        <v>16</v>
      </c>
      <c r="H94" s="9">
        <v>481</v>
      </c>
      <c r="I94" s="9">
        <v>531.02</v>
      </c>
      <c r="J94" s="9" t="s">
        <v>30</v>
      </c>
      <c r="K94" s="9">
        <v>0.17</v>
      </c>
      <c r="L94" s="9" t="s">
        <v>18</v>
      </c>
      <c r="M94" s="9" t="s">
        <v>19</v>
      </c>
      <c r="N94" s="9" t="s">
        <v>48</v>
      </c>
      <c r="O94" s="9"/>
    </row>
    <row r="95" spans="1:15" x14ac:dyDescent="0.25">
      <c r="A95" s="9">
        <v>1016</v>
      </c>
      <c r="B95" s="20">
        <v>45231</v>
      </c>
      <c r="C95" s="9" t="s">
        <v>14</v>
      </c>
      <c r="D95" s="9" t="s">
        <v>34</v>
      </c>
      <c r="E95" s="9">
        <v>3720.24</v>
      </c>
      <c r="F95" s="9">
        <v>36</v>
      </c>
      <c r="G95" s="9" t="s">
        <v>26</v>
      </c>
      <c r="H95" s="9">
        <v>1050.6400000000001</v>
      </c>
      <c r="I95" s="9">
        <v>1167.33</v>
      </c>
      <c r="J95" s="9" t="s">
        <v>30</v>
      </c>
      <c r="K95" s="9">
        <v>0.22</v>
      </c>
      <c r="L95" s="9" t="s">
        <v>18</v>
      </c>
      <c r="M95" s="9" t="s">
        <v>19</v>
      </c>
      <c r="N95" s="9" t="s">
        <v>46</v>
      </c>
      <c r="O95" s="9"/>
    </row>
    <row r="96" spans="1:15" x14ac:dyDescent="0.25">
      <c r="A96" s="9">
        <v>1020</v>
      </c>
      <c r="B96" s="20">
        <v>44995</v>
      </c>
      <c r="C96" s="9" t="s">
        <v>33</v>
      </c>
      <c r="D96" s="9" t="s">
        <v>34</v>
      </c>
      <c r="E96" s="9">
        <v>2331.27</v>
      </c>
      <c r="F96" s="9">
        <v>13</v>
      </c>
      <c r="G96" s="9" t="s">
        <v>29</v>
      </c>
      <c r="H96" s="9">
        <v>2750.18</v>
      </c>
      <c r="I96" s="9">
        <v>2882.85</v>
      </c>
      <c r="J96" s="9" t="s">
        <v>17</v>
      </c>
      <c r="K96" s="9">
        <v>0.24</v>
      </c>
      <c r="L96" s="9" t="s">
        <v>31</v>
      </c>
      <c r="M96" s="9" t="s">
        <v>19</v>
      </c>
      <c r="N96" s="9" t="s">
        <v>36</v>
      </c>
      <c r="O96" s="9"/>
    </row>
    <row r="97" spans="1:15" x14ac:dyDescent="0.25">
      <c r="A97" s="9">
        <v>1067</v>
      </c>
      <c r="B97" s="20">
        <v>45244</v>
      </c>
      <c r="C97" s="9" t="s">
        <v>33</v>
      </c>
      <c r="D97" s="9" t="s">
        <v>25</v>
      </c>
      <c r="E97" s="9">
        <v>2038.75</v>
      </c>
      <c r="F97" s="9">
        <v>32</v>
      </c>
      <c r="G97" s="9" t="s">
        <v>16</v>
      </c>
      <c r="H97" s="9">
        <v>1074.93</v>
      </c>
      <c r="I97" s="9">
        <v>1492.48</v>
      </c>
      <c r="J97" s="9" t="s">
        <v>17</v>
      </c>
      <c r="K97" s="9">
        <v>0.04</v>
      </c>
      <c r="L97" s="9" t="s">
        <v>31</v>
      </c>
      <c r="M97" s="9" t="s">
        <v>22</v>
      </c>
      <c r="N97" s="9" t="s">
        <v>44</v>
      </c>
      <c r="O97" s="9"/>
    </row>
    <row r="98" spans="1:15" x14ac:dyDescent="0.25">
      <c r="A98" s="9">
        <v>1031</v>
      </c>
      <c r="B98" s="20">
        <v>45162</v>
      </c>
      <c r="C98" s="9" t="s">
        <v>14</v>
      </c>
      <c r="D98" s="9" t="s">
        <v>21</v>
      </c>
      <c r="E98" s="9">
        <v>1493.95</v>
      </c>
      <c r="F98" s="9">
        <v>17</v>
      </c>
      <c r="G98" s="9" t="s">
        <v>16</v>
      </c>
      <c r="H98" s="9">
        <v>2742.67</v>
      </c>
      <c r="I98" s="9">
        <v>2979.64</v>
      </c>
      <c r="J98" s="9" t="s">
        <v>17</v>
      </c>
      <c r="K98" s="9">
        <v>0.01</v>
      </c>
      <c r="L98" s="9" t="s">
        <v>18</v>
      </c>
      <c r="M98" s="9" t="s">
        <v>22</v>
      </c>
      <c r="N98" s="9" t="s">
        <v>23</v>
      </c>
      <c r="O98" s="9"/>
    </row>
    <row r="99" spans="1:15" x14ac:dyDescent="0.25">
      <c r="A99" s="9">
        <v>1025</v>
      </c>
      <c r="B99" s="20">
        <v>45260</v>
      </c>
      <c r="C99" s="9" t="s">
        <v>42</v>
      </c>
      <c r="D99" s="9" t="s">
        <v>25</v>
      </c>
      <c r="E99" s="9">
        <v>6261.9</v>
      </c>
      <c r="F99" s="9">
        <v>41</v>
      </c>
      <c r="G99" s="9" t="s">
        <v>35</v>
      </c>
      <c r="H99" s="9">
        <v>1196.42</v>
      </c>
      <c r="I99" s="9">
        <v>1444.97</v>
      </c>
      <c r="J99" s="9" t="s">
        <v>17</v>
      </c>
      <c r="K99" s="9">
        <v>0.21</v>
      </c>
      <c r="L99" s="9" t="s">
        <v>27</v>
      </c>
      <c r="M99" s="9" t="s">
        <v>19</v>
      </c>
      <c r="N99" s="9" t="s">
        <v>43</v>
      </c>
      <c r="O99" s="9"/>
    </row>
    <row r="100" spans="1:15" x14ac:dyDescent="0.25">
      <c r="A100" s="9">
        <v>1046</v>
      </c>
      <c r="B100" s="20">
        <v>45063</v>
      </c>
      <c r="C100" s="9" t="s">
        <v>14</v>
      </c>
      <c r="D100" s="9" t="s">
        <v>25</v>
      </c>
      <c r="E100" s="9">
        <v>7835.09</v>
      </c>
      <c r="F100" s="9">
        <v>36</v>
      </c>
      <c r="G100" s="9" t="s">
        <v>29</v>
      </c>
      <c r="H100" s="9">
        <v>4252.17</v>
      </c>
      <c r="I100" s="9">
        <v>4720.2700000000004</v>
      </c>
      <c r="J100" s="9" t="s">
        <v>30</v>
      </c>
      <c r="K100" s="9">
        <v>0.09</v>
      </c>
      <c r="L100" s="9" t="s">
        <v>18</v>
      </c>
      <c r="M100" s="9" t="s">
        <v>22</v>
      </c>
      <c r="N100" s="9" t="s">
        <v>32</v>
      </c>
      <c r="O100" s="9"/>
    </row>
    <row r="101" spans="1:15" x14ac:dyDescent="0.25">
      <c r="A101" s="9">
        <v>1010</v>
      </c>
      <c r="B101" s="20">
        <v>45002</v>
      </c>
      <c r="C101" s="9" t="s">
        <v>38</v>
      </c>
      <c r="D101" s="9" t="s">
        <v>25</v>
      </c>
      <c r="E101" s="9">
        <v>5825.15</v>
      </c>
      <c r="F101" s="9">
        <v>46</v>
      </c>
      <c r="G101" s="9" t="s">
        <v>35</v>
      </c>
      <c r="H101" s="9">
        <v>2016.49</v>
      </c>
      <c r="I101" s="9">
        <v>2338.66</v>
      </c>
      <c r="J101" s="9" t="s">
        <v>17</v>
      </c>
      <c r="K101" s="9">
        <v>0.19</v>
      </c>
      <c r="L101" s="9" t="s">
        <v>27</v>
      </c>
      <c r="M101" s="9" t="s">
        <v>22</v>
      </c>
      <c r="N101" s="9" t="s">
        <v>39</v>
      </c>
      <c r="O101" s="9"/>
    </row>
    <row r="102" spans="1:15" x14ac:dyDescent="0.25">
      <c r="B102" s="20">
        <v>44961</v>
      </c>
      <c r="C102" s="9" t="s">
        <v>42</v>
      </c>
      <c r="D102" s="9" t="s">
        <v>21</v>
      </c>
      <c r="E102" s="9">
        <v>1554.93</v>
      </c>
      <c r="F102" s="9">
        <v>19</v>
      </c>
      <c r="G102" s="9" t="s">
        <v>35</v>
      </c>
      <c r="H102" s="9">
        <v>1265.48</v>
      </c>
      <c r="I102" s="9">
        <v>1715.83</v>
      </c>
      <c r="J102" s="9" t="s">
        <v>30</v>
      </c>
      <c r="K102" s="9">
        <v>0.05</v>
      </c>
      <c r="L102" s="9" t="s">
        <v>31</v>
      </c>
      <c r="M102" s="9" t="s">
        <v>22</v>
      </c>
      <c r="N102" s="9" t="s">
        <v>51</v>
      </c>
      <c r="O102" s="9"/>
    </row>
    <row r="103" spans="1:15" x14ac:dyDescent="0.25">
      <c r="B103" s="20">
        <v>44927</v>
      </c>
      <c r="C103" s="9" t="s">
        <v>33</v>
      </c>
      <c r="D103" s="9" t="s">
        <v>15</v>
      </c>
      <c r="E103" s="9">
        <v>8130.13</v>
      </c>
      <c r="F103" s="9">
        <v>35</v>
      </c>
      <c r="G103" s="9" t="s">
        <v>29</v>
      </c>
      <c r="H103" s="9">
        <v>4071.01</v>
      </c>
      <c r="I103" s="9">
        <v>4304.7</v>
      </c>
      <c r="J103" s="9" t="s">
        <v>30</v>
      </c>
      <c r="K103" s="9">
        <v>0.14000000000000001</v>
      </c>
      <c r="L103" s="9" t="s">
        <v>31</v>
      </c>
      <c r="M103" s="9" t="s">
        <v>19</v>
      </c>
      <c r="N103" s="9" t="s">
        <v>53</v>
      </c>
      <c r="O103" s="9"/>
    </row>
    <row r="104" spans="1:15" x14ac:dyDescent="0.25">
      <c r="B104" s="20">
        <v>45222</v>
      </c>
      <c r="C104" s="9" t="s">
        <v>14</v>
      </c>
      <c r="D104" s="9" t="s">
        <v>21</v>
      </c>
      <c r="E104" s="9">
        <v>6395.95</v>
      </c>
      <c r="F104" s="9">
        <v>46</v>
      </c>
      <c r="G104" s="9" t="s">
        <v>29</v>
      </c>
      <c r="H104" s="9">
        <v>1747.05</v>
      </c>
      <c r="I104" s="9">
        <v>1830.27</v>
      </c>
      <c r="J104" s="9" t="s">
        <v>30</v>
      </c>
      <c r="K104" s="9">
        <v>0.15</v>
      </c>
      <c r="L104" s="9" t="s">
        <v>27</v>
      </c>
      <c r="M104" s="9" t="s">
        <v>22</v>
      </c>
      <c r="N104" s="9" t="s">
        <v>23</v>
      </c>
      <c r="O104" s="9"/>
    </row>
    <row r="105" spans="1:15" x14ac:dyDescent="0.25">
      <c r="B105" s="20">
        <v>45246</v>
      </c>
      <c r="C105" s="9" t="s">
        <v>24</v>
      </c>
      <c r="D105" s="9" t="s">
        <v>25</v>
      </c>
      <c r="E105" s="9">
        <v>3942.84</v>
      </c>
      <c r="F105" s="9">
        <v>40</v>
      </c>
      <c r="G105" s="9" t="s">
        <v>26</v>
      </c>
      <c r="H105" s="9">
        <v>601.86</v>
      </c>
      <c r="I105" s="9">
        <v>1067.53</v>
      </c>
      <c r="J105" s="9" t="s">
        <v>30</v>
      </c>
      <c r="K105" s="9">
        <v>0.18</v>
      </c>
      <c r="L105" s="9" t="s">
        <v>18</v>
      </c>
      <c r="M105" s="9" t="s">
        <v>19</v>
      </c>
      <c r="N105" s="9" t="s">
        <v>28</v>
      </c>
      <c r="O105" s="9"/>
    </row>
    <row r="106" spans="1:15" x14ac:dyDescent="0.25">
      <c r="B106" s="20">
        <v>44986</v>
      </c>
      <c r="C106" s="9" t="s">
        <v>24</v>
      </c>
      <c r="D106" s="9" t="s">
        <v>34</v>
      </c>
      <c r="E106" s="9">
        <v>6773.89</v>
      </c>
      <c r="F106" s="9">
        <v>28</v>
      </c>
      <c r="G106" s="9" t="s">
        <v>29</v>
      </c>
      <c r="H106" s="9">
        <v>2873.53</v>
      </c>
      <c r="I106" s="9">
        <v>3108.3</v>
      </c>
      <c r="J106" s="9" t="s">
        <v>30</v>
      </c>
      <c r="K106" s="9">
        <v>0.15</v>
      </c>
      <c r="L106" s="9" t="s">
        <v>31</v>
      </c>
      <c r="M106" s="9" t="s">
        <v>22</v>
      </c>
      <c r="N106" s="9" t="s">
        <v>50</v>
      </c>
      <c r="O106" s="9"/>
    </row>
    <row r="107" spans="1:15" x14ac:dyDescent="0.25">
      <c r="B107" s="20">
        <v>45246</v>
      </c>
      <c r="C107" s="9" t="s">
        <v>38</v>
      </c>
      <c r="D107" s="9" t="s">
        <v>34</v>
      </c>
      <c r="E107" s="9">
        <v>2673.06</v>
      </c>
      <c r="F107" s="9">
        <v>1</v>
      </c>
      <c r="G107" s="9" t="s">
        <v>16</v>
      </c>
      <c r="H107" s="9">
        <v>2928.74</v>
      </c>
      <c r="I107" s="9">
        <v>3027.74</v>
      </c>
      <c r="J107" s="9" t="s">
        <v>30</v>
      </c>
      <c r="K107" s="9">
        <v>0.15</v>
      </c>
      <c r="L107" s="9" t="s">
        <v>27</v>
      </c>
      <c r="M107" s="9" t="s">
        <v>22</v>
      </c>
      <c r="N107" s="9" t="s">
        <v>48</v>
      </c>
      <c r="O107" s="9"/>
    </row>
    <row r="108" spans="1:15" x14ac:dyDescent="0.25">
      <c r="B108" s="20">
        <v>45275</v>
      </c>
      <c r="C108" s="9" t="s">
        <v>24</v>
      </c>
      <c r="D108" s="9" t="s">
        <v>25</v>
      </c>
      <c r="E108" s="9">
        <v>3517.4</v>
      </c>
      <c r="F108" s="9">
        <v>42</v>
      </c>
      <c r="G108" s="9" t="s">
        <v>29</v>
      </c>
      <c r="H108" s="9">
        <v>3587.74</v>
      </c>
      <c r="I108" s="9">
        <v>3745.91</v>
      </c>
      <c r="J108" s="9" t="s">
        <v>17</v>
      </c>
      <c r="K108" s="9">
        <v>0.1</v>
      </c>
      <c r="L108" s="9" t="s">
        <v>18</v>
      </c>
      <c r="M108" s="9" t="s">
        <v>19</v>
      </c>
      <c r="N108" s="9" t="s">
        <v>28</v>
      </c>
      <c r="O108" s="9"/>
    </row>
    <row r="109" spans="1:15" x14ac:dyDescent="0.25">
      <c r="B109" s="20">
        <v>45254</v>
      </c>
      <c r="C109" s="9" t="s">
        <v>14</v>
      </c>
      <c r="D109" s="9" t="s">
        <v>34</v>
      </c>
      <c r="E109" s="9">
        <v>9183.11</v>
      </c>
      <c r="F109" s="9">
        <v>18</v>
      </c>
      <c r="G109" s="9" t="s">
        <v>26</v>
      </c>
      <c r="H109" s="9">
        <v>1239.0899999999999</v>
      </c>
      <c r="I109" s="9">
        <v>1273.98</v>
      </c>
      <c r="J109" s="9" t="s">
        <v>30</v>
      </c>
      <c r="K109" s="9">
        <v>0.02</v>
      </c>
      <c r="L109" s="9" t="s">
        <v>27</v>
      </c>
      <c r="M109" s="9" t="s">
        <v>22</v>
      </c>
      <c r="N109" s="9" t="s">
        <v>46</v>
      </c>
      <c r="O109" s="9"/>
    </row>
    <row r="110" spans="1:15" x14ac:dyDescent="0.25">
      <c r="B110" s="20">
        <v>45193</v>
      </c>
      <c r="C110" s="9" t="s">
        <v>14</v>
      </c>
      <c r="D110" s="9" t="s">
        <v>25</v>
      </c>
      <c r="E110" s="9">
        <v>2975.99</v>
      </c>
      <c r="F110" s="9">
        <v>48</v>
      </c>
      <c r="G110" s="9" t="s">
        <v>26</v>
      </c>
      <c r="H110" s="9">
        <v>2246.67</v>
      </c>
      <c r="I110" s="9">
        <v>2486.14</v>
      </c>
      <c r="J110" s="9" t="s">
        <v>30</v>
      </c>
      <c r="K110" s="9">
        <v>0.03</v>
      </c>
      <c r="L110" s="9" t="s">
        <v>18</v>
      </c>
      <c r="M110" s="9" t="s">
        <v>22</v>
      </c>
      <c r="N110" s="9" t="s">
        <v>32</v>
      </c>
      <c r="O110" s="9"/>
    </row>
    <row r="111" spans="1:15" x14ac:dyDescent="0.25">
      <c r="B111" s="20">
        <v>45287</v>
      </c>
      <c r="C111" s="9" t="s">
        <v>24</v>
      </c>
      <c r="D111" s="9" t="s">
        <v>34</v>
      </c>
      <c r="E111" s="9">
        <v>4752.88</v>
      </c>
      <c r="F111" s="9">
        <v>40</v>
      </c>
      <c r="G111" s="9" t="s">
        <v>26</v>
      </c>
      <c r="H111" s="9">
        <v>1447.72</v>
      </c>
      <c r="I111" s="9">
        <v>1875.75</v>
      </c>
      <c r="J111" s="9" t="s">
        <v>30</v>
      </c>
      <c r="K111" s="9">
        <v>0.13</v>
      </c>
      <c r="L111" s="9" t="s">
        <v>18</v>
      </c>
      <c r="M111" s="9" t="s">
        <v>22</v>
      </c>
      <c r="N111" s="9" t="s">
        <v>50</v>
      </c>
      <c r="O111" s="9"/>
    </row>
    <row r="112" spans="1:15" x14ac:dyDescent="0.25">
      <c r="B112" s="20">
        <v>45155</v>
      </c>
      <c r="C112" s="9" t="s">
        <v>14</v>
      </c>
      <c r="D112" s="9" t="s">
        <v>21</v>
      </c>
      <c r="E112" s="9">
        <v>8912.4</v>
      </c>
      <c r="F112" s="9">
        <v>33</v>
      </c>
      <c r="G112" s="9" t="s">
        <v>29</v>
      </c>
      <c r="H112" s="9">
        <v>450.72</v>
      </c>
      <c r="I112" s="9">
        <v>918.17</v>
      </c>
      <c r="J112" s="9" t="s">
        <v>17</v>
      </c>
      <c r="K112" s="9">
        <v>0.11</v>
      </c>
      <c r="L112" s="9" t="s">
        <v>18</v>
      </c>
      <c r="M112" s="9" t="s">
        <v>19</v>
      </c>
      <c r="N112" s="9" t="s">
        <v>23</v>
      </c>
      <c r="O112" s="9"/>
    </row>
    <row r="113" spans="2:15" x14ac:dyDescent="0.25">
      <c r="B113" s="20">
        <v>45196</v>
      </c>
      <c r="C113" s="9" t="s">
        <v>38</v>
      </c>
      <c r="D113" s="9" t="s">
        <v>15</v>
      </c>
      <c r="E113" s="9">
        <v>7106.44</v>
      </c>
      <c r="F113" s="9">
        <v>12</v>
      </c>
      <c r="G113" s="9" t="s">
        <v>29</v>
      </c>
      <c r="H113" s="9">
        <v>4389.24</v>
      </c>
      <c r="I113" s="9">
        <v>4856.2199999999903</v>
      </c>
      <c r="J113" s="9" t="s">
        <v>17</v>
      </c>
      <c r="K113" s="9">
        <v>0.15</v>
      </c>
      <c r="L113" s="9" t="s">
        <v>18</v>
      </c>
      <c r="M113" s="9" t="s">
        <v>22</v>
      </c>
      <c r="N113" s="9" t="s">
        <v>40</v>
      </c>
      <c r="O113" s="9"/>
    </row>
    <row r="114" spans="2:15" x14ac:dyDescent="0.25">
      <c r="B114" s="20">
        <v>45242</v>
      </c>
      <c r="C114" s="9" t="s">
        <v>42</v>
      </c>
      <c r="D114" s="9" t="s">
        <v>15</v>
      </c>
      <c r="E114" s="9">
        <v>715.81</v>
      </c>
      <c r="F114" s="9">
        <v>8</v>
      </c>
      <c r="G114" s="9" t="s">
        <v>35</v>
      </c>
      <c r="H114" s="9">
        <v>3657.91</v>
      </c>
      <c r="I114" s="9">
        <v>3729.27</v>
      </c>
      <c r="J114" s="9" t="s">
        <v>30</v>
      </c>
      <c r="K114" s="9">
        <v>0.09</v>
      </c>
      <c r="L114" s="9" t="s">
        <v>27</v>
      </c>
      <c r="M114" s="9" t="s">
        <v>22</v>
      </c>
      <c r="N114" s="9" t="s">
        <v>49</v>
      </c>
      <c r="O114" s="9"/>
    </row>
    <row r="115" spans="2:15" x14ac:dyDescent="0.25">
      <c r="B115" s="20">
        <v>45212</v>
      </c>
      <c r="C115" s="9" t="s">
        <v>38</v>
      </c>
      <c r="D115" s="9" t="s">
        <v>21</v>
      </c>
      <c r="E115" s="9">
        <v>1558.3</v>
      </c>
      <c r="F115" s="9">
        <v>24</v>
      </c>
      <c r="G115" s="9" t="s">
        <v>35</v>
      </c>
      <c r="H115" s="9">
        <v>1542.24</v>
      </c>
      <c r="I115" s="9">
        <v>1739.45</v>
      </c>
      <c r="J115" s="9" t="s">
        <v>17</v>
      </c>
      <c r="K115" s="9">
        <v>0.21</v>
      </c>
      <c r="L115" s="9" t="s">
        <v>27</v>
      </c>
      <c r="M115" s="9" t="s">
        <v>22</v>
      </c>
      <c r="N115" s="9" t="s">
        <v>41</v>
      </c>
      <c r="O115" s="9"/>
    </row>
    <row r="116" spans="2:15" x14ac:dyDescent="0.25">
      <c r="B116" s="20">
        <v>45217</v>
      </c>
      <c r="C116" s="9" t="s">
        <v>38</v>
      </c>
      <c r="D116" s="9" t="s">
        <v>21</v>
      </c>
      <c r="E116" s="9">
        <v>177.63</v>
      </c>
      <c r="F116" s="9">
        <v>16</v>
      </c>
      <c r="G116" s="9" t="s">
        <v>16</v>
      </c>
      <c r="H116" s="9">
        <v>3016.9</v>
      </c>
      <c r="I116" s="9">
        <v>3040.73</v>
      </c>
      <c r="J116" s="9" t="s">
        <v>30</v>
      </c>
      <c r="K116" s="9">
        <v>0.26</v>
      </c>
      <c r="L116" s="9" t="s">
        <v>27</v>
      </c>
      <c r="M116" s="9" t="s">
        <v>22</v>
      </c>
      <c r="N116" s="9" t="s">
        <v>41</v>
      </c>
      <c r="O116" s="9"/>
    </row>
    <row r="117" spans="2:15" x14ac:dyDescent="0.25">
      <c r="B117" s="20">
        <v>45139</v>
      </c>
      <c r="C117" s="9" t="s">
        <v>14</v>
      </c>
      <c r="D117" s="9" t="s">
        <v>25</v>
      </c>
      <c r="E117" s="9">
        <v>6346.13</v>
      </c>
      <c r="F117" s="9">
        <v>4</v>
      </c>
      <c r="G117" s="9" t="s">
        <v>35</v>
      </c>
      <c r="H117" s="9">
        <v>1046.26</v>
      </c>
      <c r="I117" s="9">
        <v>1475.29</v>
      </c>
      <c r="J117" s="9" t="s">
        <v>17</v>
      </c>
      <c r="K117" s="9">
        <v>0.09</v>
      </c>
      <c r="L117" s="9" t="s">
        <v>27</v>
      </c>
      <c r="M117" s="9" t="s">
        <v>22</v>
      </c>
      <c r="N117" s="9" t="s">
        <v>32</v>
      </c>
      <c r="O117" s="9"/>
    </row>
    <row r="118" spans="2:15" x14ac:dyDescent="0.25">
      <c r="B118" s="20">
        <v>45091</v>
      </c>
      <c r="C118" s="9" t="s">
        <v>42</v>
      </c>
      <c r="D118" s="9" t="s">
        <v>25</v>
      </c>
      <c r="E118" s="9">
        <v>4531.97</v>
      </c>
      <c r="F118" s="9">
        <v>38</v>
      </c>
      <c r="G118" s="9" t="s">
        <v>16</v>
      </c>
      <c r="H118" s="9">
        <v>4456.67</v>
      </c>
      <c r="I118" s="9">
        <v>4642.46</v>
      </c>
      <c r="J118" s="9" t="s">
        <v>30</v>
      </c>
      <c r="K118" s="9">
        <v>0.06</v>
      </c>
      <c r="L118" s="9" t="s">
        <v>27</v>
      </c>
      <c r="M118" s="9" t="s">
        <v>19</v>
      </c>
      <c r="N118" s="9" t="s">
        <v>43</v>
      </c>
      <c r="O118" s="9"/>
    </row>
    <row r="119" spans="2:15" x14ac:dyDescent="0.25">
      <c r="B119" s="20">
        <v>44931</v>
      </c>
      <c r="C119" s="9" t="s">
        <v>14</v>
      </c>
      <c r="D119" s="9" t="s">
        <v>25</v>
      </c>
      <c r="E119" s="9">
        <v>1429.32</v>
      </c>
      <c r="F119" s="9">
        <v>44</v>
      </c>
      <c r="G119" s="9" t="s">
        <v>26</v>
      </c>
      <c r="H119" s="9">
        <v>618.79</v>
      </c>
      <c r="I119" s="9">
        <v>938.04</v>
      </c>
      <c r="J119" s="9" t="s">
        <v>17</v>
      </c>
      <c r="K119" s="9">
        <v>0.03</v>
      </c>
      <c r="L119" s="9" t="s">
        <v>18</v>
      </c>
      <c r="M119" s="9" t="s">
        <v>19</v>
      </c>
      <c r="N119" s="9" t="s">
        <v>32</v>
      </c>
      <c r="O119" s="9"/>
    </row>
    <row r="120" spans="2:15" x14ac:dyDescent="0.25">
      <c r="B120" s="20">
        <v>45265</v>
      </c>
      <c r="C120" s="9" t="s">
        <v>33</v>
      </c>
      <c r="D120" s="9" t="s">
        <v>34</v>
      </c>
      <c r="E120" s="9">
        <v>9583.5499999999993</v>
      </c>
      <c r="F120" s="9">
        <v>27</v>
      </c>
      <c r="G120" s="9" t="s">
        <v>35</v>
      </c>
      <c r="H120" s="9">
        <v>68.989999999999995</v>
      </c>
      <c r="I120" s="9">
        <v>429.29</v>
      </c>
      <c r="J120" s="9" t="s">
        <v>17</v>
      </c>
      <c r="K120" s="9">
        <v>0.18</v>
      </c>
      <c r="L120" s="9" t="s">
        <v>31</v>
      </c>
      <c r="M120" s="9" t="s">
        <v>22</v>
      </c>
      <c r="N120" s="9" t="s">
        <v>36</v>
      </c>
      <c r="O120" s="9"/>
    </row>
    <row r="121" spans="2:15" x14ac:dyDescent="0.25">
      <c r="B121" s="20">
        <v>45004</v>
      </c>
      <c r="C121" s="9" t="s">
        <v>14</v>
      </c>
      <c r="D121" s="9" t="s">
        <v>25</v>
      </c>
      <c r="E121" s="9">
        <v>5343.63</v>
      </c>
      <c r="F121" s="9">
        <v>9</v>
      </c>
      <c r="G121" s="9" t="s">
        <v>29</v>
      </c>
      <c r="H121" s="9">
        <v>2534.94</v>
      </c>
      <c r="I121" s="9">
        <v>2755.56</v>
      </c>
      <c r="J121" s="9" t="s">
        <v>17</v>
      </c>
      <c r="K121" s="9">
        <v>0.13</v>
      </c>
      <c r="L121" s="9" t="s">
        <v>31</v>
      </c>
      <c r="M121" s="9" t="s">
        <v>22</v>
      </c>
      <c r="N121" s="9" t="s">
        <v>32</v>
      </c>
      <c r="O121" s="9"/>
    </row>
    <row r="122" spans="2:15" x14ac:dyDescent="0.25">
      <c r="B122" s="20">
        <v>44988</v>
      </c>
      <c r="C122" s="9" t="s">
        <v>14</v>
      </c>
      <c r="D122" s="9" t="s">
        <v>21</v>
      </c>
      <c r="E122" s="9">
        <v>2494.7399999999998</v>
      </c>
      <c r="F122" s="9">
        <v>47</v>
      </c>
      <c r="G122" s="9" t="s">
        <v>35</v>
      </c>
      <c r="H122" s="9">
        <v>2936.48</v>
      </c>
      <c r="I122" s="9">
        <v>3096.64</v>
      </c>
      <c r="J122" s="9" t="s">
        <v>30</v>
      </c>
      <c r="K122" s="9">
        <v>0.06</v>
      </c>
      <c r="L122" s="9" t="s">
        <v>27</v>
      </c>
      <c r="M122" s="9" t="s">
        <v>19</v>
      </c>
      <c r="N122" s="9" t="s">
        <v>23</v>
      </c>
      <c r="O122" s="9"/>
    </row>
    <row r="123" spans="2:15" x14ac:dyDescent="0.25">
      <c r="B123" s="20">
        <v>45058</v>
      </c>
      <c r="C123" s="9" t="s">
        <v>14</v>
      </c>
      <c r="D123" s="9" t="s">
        <v>15</v>
      </c>
      <c r="E123" s="9">
        <v>5055.9799999999996</v>
      </c>
      <c r="F123" s="9">
        <v>16</v>
      </c>
      <c r="G123" s="9" t="s">
        <v>16</v>
      </c>
      <c r="H123" s="9">
        <v>2915.88</v>
      </c>
      <c r="I123" s="9">
        <v>3397.36</v>
      </c>
      <c r="J123" s="9" t="s">
        <v>30</v>
      </c>
      <c r="K123" s="9">
        <v>0.2</v>
      </c>
      <c r="L123" s="9" t="s">
        <v>27</v>
      </c>
      <c r="M123" s="9" t="s">
        <v>22</v>
      </c>
      <c r="N123" s="9" t="s">
        <v>20</v>
      </c>
      <c r="O123" s="9"/>
    </row>
    <row r="124" spans="2:15" x14ac:dyDescent="0.25">
      <c r="B124" s="20">
        <v>45015</v>
      </c>
      <c r="C124" s="9" t="s">
        <v>42</v>
      </c>
      <c r="D124" s="9" t="s">
        <v>34</v>
      </c>
      <c r="E124" s="9">
        <v>6828.24</v>
      </c>
      <c r="F124" s="9">
        <v>12</v>
      </c>
      <c r="G124" s="9" t="s">
        <v>35</v>
      </c>
      <c r="H124" s="9">
        <v>319.83</v>
      </c>
      <c r="I124" s="9">
        <v>802.43</v>
      </c>
      <c r="J124" s="9" t="s">
        <v>30</v>
      </c>
      <c r="K124" s="9">
        <v>0.04</v>
      </c>
      <c r="L124" s="9" t="s">
        <v>31</v>
      </c>
      <c r="M124" s="9" t="s">
        <v>22</v>
      </c>
      <c r="N124" s="9" t="s">
        <v>52</v>
      </c>
      <c r="O124" s="9"/>
    </row>
    <row r="125" spans="2:15" x14ac:dyDescent="0.25">
      <c r="B125" s="20">
        <v>45163</v>
      </c>
      <c r="C125" s="9" t="s">
        <v>14</v>
      </c>
      <c r="D125" s="9" t="s">
        <v>25</v>
      </c>
      <c r="E125" s="9">
        <v>854.77</v>
      </c>
      <c r="F125" s="9">
        <v>31</v>
      </c>
      <c r="G125" s="9" t="s">
        <v>26</v>
      </c>
      <c r="H125" s="9">
        <v>1604.52</v>
      </c>
      <c r="I125" s="9">
        <v>1756.34</v>
      </c>
      <c r="J125" s="9" t="s">
        <v>17</v>
      </c>
      <c r="K125" s="9">
        <v>0.17</v>
      </c>
      <c r="L125" s="9" t="s">
        <v>18</v>
      </c>
      <c r="M125" s="9" t="s">
        <v>22</v>
      </c>
      <c r="N125" s="9" t="s">
        <v>32</v>
      </c>
      <c r="O125" s="9"/>
    </row>
    <row r="126" spans="2:15" x14ac:dyDescent="0.25">
      <c r="B126" s="20">
        <v>44968</v>
      </c>
      <c r="C126" s="9" t="s">
        <v>42</v>
      </c>
      <c r="D126" s="9" t="s">
        <v>34</v>
      </c>
      <c r="E126" s="9">
        <v>2819.57</v>
      </c>
      <c r="F126" s="9">
        <v>24</v>
      </c>
      <c r="G126" s="9" t="s">
        <v>29</v>
      </c>
      <c r="H126" s="9">
        <v>2521.0300000000002</v>
      </c>
      <c r="I126" s="9">
        <v>2766.05</v>
      </c>
      <c r="J126" s="9" t="s">
        <v>17</v>
      </c>
      <c r="K126" s="9">
        <v>0.16</v>
      </c>
      <c r="L126" s="9" t="s">
        <v>27</v>
      </c>
      <c r="M126" s="9" t="s">
        <v>22</v>
      </c>
      <c r="N126" s="9" t="s">
        <v>52</v>
      </c>
      <c r="O126" s="9"/>
    </row>
    <row r="127" spans="2:15" x14ac:dyDescent="0.25">
      <c r="B127" s="20">
        <v>45015</v>
      </c>
      <c r="C127" s="9" t="s">
        <v>24</v>
      </c>
      <c r="D127" s="9" t="s">
        <v>34</v>
      </c>
      <c r="E127" s="9">
        <v>8088.96</v>
      </c>
      <c r="F127" s="9">
        <v>14</v>
      </c>
      <c r="G127" s="9" t="s">
        <v>16</v>
      </c>
      <c r="H127" s="9">
        <v>1122.07</v>
      </c>
      <c r="I127" s="9">
        <v>1608.76</v>
      </c>
      <c r="J127" s="9" t="s">
        <v>30</v>
      </c>
      <c r="K127" s="9">
        <v>0.22</v>
      </c>
      <c r="L127" s="9" t="s">
        <v>18</v>
      </c>
      <c r="M127" s="9" t="s">
        <v>22</v>
      </c>
      <c r="N127" s="9" t="s">
        <v>50</v>
      </c>
      <c r="O127" s="9"/>
    </row>
    <row r="128" spans="2:15" x14ac:dyDescent="0.25">
      <c r="B128" s="20">
        <v>45222</v>
      </c>
      <c r="C128" s="9" t="s">
        <v>33</v>
      </c>
      <c r="D128" s="9" t="s">
        <v>25</v>
      </c>
      <c r="E128" s="9">
        <v>4650.68</v>
      </c>
      <c r="F128" s="9">
        <v>45</v>
      </c>
      <c r="G128" s="9" t="s">
        <v>29</v>
      </c>
      <c r="H128" s="9">
        <v>4369.5</v>
      </c>
      <c r="I128" s="9">
        <v>4381.8900000000003</v>
      </c>
      <c r="J128" s="9" t="s">
        <v>17</v>
      </c>
      <c r="K128" s="9">
        <v>0.02</v>
      </c>
      <c r="L128" s="9" t="s">
        <v>31</v>
      </c>
      <c r="M128" s="9" t="s">
        <v>22</v>
      </c>
      <c r="N128" s="9" t="s">
        <v>44</v>
      </c>
      <c r="O128" s="9"/>
    </row>
    <row r="129" spans="2:15" x14ac:dyDescent="0.25">
      <c r="B129" s="20">
        <v>45254</v>
      </c>
      <c r="C129" s="9" t="s">
        <v>42</v>
      </c>
      <c r="D129" s="9" t="s">
        <v>34</v>
      </c>
      <c r="E129" s="9">
        <v>5511.11</v>
      </c>
      <c r="F129" s="9">
        <v>25</v>
      </c>
      <c r="G129" s="9" t="s">
        <v>29</v>
      </c>
      <c r="H129" s="9">
        <v>481.19</v>
      </c>
      <c r="I129" s="9">
        <v>693.4</v>
      </c>
      <c r="J129" s="9" t="s">
        <v>30</v>
      </c>
      <c r="K129" s="9">
        <v>0.27</v>
      </c>
      <c r="L129" s="9" t="s">
        <v>31</v>
      </c>
      <c r="M129" s="9" t="s">
        <v>22</v>
      </c>
      <c r="N129" s="9" t="s">
        <v>52</v>
      </c>
      <c r="O129" s="9"/>
    </row>
    <row r="130" spans="2:15" x14ac:dyDescent="0.25">
      <c r="B130" s="20">
        <v>45221</v>
      </c>
      <c r="C130" s="9" t="s">
        <v>24</v>
      </c>
      <c r="D130" s="9" t="s">
        <v>15</v>
      </c>
      <c r="E130" s="9">
        <v>4384.88</v>
      </c>
      <c r="F130" s="9">
        <v>34</v>
      </c>
      <c r="G130" s="9" t="s">
        <v>16</v>
      </c>
      <c r="H130" s="9">
        <v>2462.5500000000002</v>
      </c>
      <c r="I130" s="9">
        <v>2521.77</v>
      </c>
      <c r="J130" s="9" t="s">
        <v>30</v>
      </c>
      <c r="K130" s="9">
        <v>0.21</v>
      </c>
      <c r="L130" s="9" t="s">
        <v>27</v>
      </c>
      <c r="M130" s="9" t="s">
        <v>22</v>
      </c>
      <c r="N130" s="9" t="s">
        <v>45</v>
      </c>
      <c r="O130" s="9"/>
    </row>
    <row r="131" spans="2:15" x14ac:dyDescent="0.25">
      <c r="B131" s="20">
        <v>45030</v>
      </c>
      <c r="C131" s="9" t="s">
        <v>42</v>
      </c>
      <c r="D131" s="9" t="s">
        <v>21</v>
      </c>
      <c r="E131" s="9">
        <v>534.61</v>
      </c>
      <c r="F131" s="9">
        <v>3</v>
      </c>
      <c r="G131" s="9" t="s">
        <v>29</v>
      </c>
      <c r="H131" s="9">
        <v>3472.51</v>
      </c>
      <c r="I131" s="9">
        <v>3732</v>
      </c>
      <c r="J131" s="9" t="s">
        <v>30</v>
      </c>
      <c r="K131" s="9">
        <v>0.06</v>
      </c>
      <c r="L131" s="9" t="s">
        <v>18</v>
      </c>
      <c r="M131" s="9" t="s">
        <v>19</v>
      </c>
      <c r="N131" s="9" t="s">
        <v>51</v>
      </c>
      <c r="O131" s="9"/>
    </row>
    <row r="132" spans="2:15" x14ac:dyDescent="0.25">
      <c r="B132" s="20">
        <v>44940</v>
      </c>
      <c r="C132" s="9" t="s">
        <v>42</v>
      </c>
      <c r="D132" s="9" t="s">
        <v>21</v>
      </c>
      <c r="E132" s="9">
        <v>1740.92</v>
      </c>
      <c r="F132" s="9">
        <v>24</v>
      </c>
      <c r="G132" s="9" t="s">
        <v>29</v>
      </c>
      <c r="H132" s="9">
        <v>1345.67</v>
      </c>
      <c r="I132" s="9">
        <v>1367.76</v>
      </c>
      <c r="J132" s="9" t="s">
        <v>30</v>
      </c>
      <c r="K132" s="9">
        <v>0.06</v>
      </c>
      <c r="L132" s="9" t="s">
        <v>27</v>
      </c>
      <c r="M132" s="9" t="s">
        <v>19</v>
      </c>
      <c r="N132" s="9" t="s">
        <v>51</v>
      </c>
      <c r="O132" s="9"/>
    </row>
    <row r="133" spans="2:15" x14ac:dyDescent="0.25">
      <c r="B133" s="20">
        <v>45214</v>
      </c>
      <c r="C133" s="9" t="s">
        <v>33</v>
      </c>
      <c r="D133" s="9" t="s">
        <v>15</v>
      </c>
      <c r="E133" s="9">
        <v>4510.8599999999997</v>
      </c>
      <c r="F133" s="9">
        <v>42</v>
      </c>
      <c r="G133" s="9" t="s">
        <v>35</v>
      </c>
      <c r="H133" s="9">
        <v>3139.99</v>
      </c>
      <c r="I133" s="9">
        <v>3349.37</v>
      </c>
      <c r="J133" s="9" t="s">
        <v>17</v>
      </c>
      <c r="K133" s="9">
        <v>0.13</v>
      </c>
      <c r="L133" s="9" t="s">
        <v>31</v>
      </c>
      <c r="M133" s="9" t="s">
        <v>22</v>
      </c>
      <c r="N133" s="9" t="s">
        <v>53</v>
      </c>
      <c r="O133" s="9"/>
    </row>
    <row r="134" spans="2:15" x14ac:dyDescent="0.25">
      <c r="B134" s="20">
        <v>45105</v>
      </c>
      <c r="C134" s="9" t="s">
        <v>38</v>
      </c>
      <c r="D134" s="9" t="s">
        <v>34</v>
      </c>
      <c r="E134" s="9">
        <v>2170.94</v>
      </c>
      <c r="F134" s="9">
        <v>9</v>
      </c>
      <c r="G134" s="9" t="s">
        <v>29</v>
      </c>
      <c r="H134" s="9">
        <v>4155.46</v>
      </c>
      <c r="I134" s="9">
        <v>4273.6000000000004</v>
      </c>
      <c r="J134" s="9" t="s">
        <v>17</v>
      </c>
      <c r="K134" s="9">
        <v>0.25</v>
      </c>
      <c r="L134" s="9" t="s">
        <v>18</v>
      </c>
      <c r="M134" s="9" t="s">
        <v>22</v>
      </c>
      <c r="N134" s="9" t="s">
        <v>48</v>
      </c>
      <c r="O134" s="9"/>
    </row>
    <row r="135" spans="2:15" x14ac:dyDescent="0.25">
      <c r="B135" s="20">
        <v>45051</v>
      </c>
      <c r="C135" s="9" t="s">
        <v>38</v>
      </c>
      <c r="D135" s="9" t="s">
        <v>25</v>
      </c>
      <c r="E135" s="9">
        <v>594.79</v>
      </c>
      <c r="F135" s="9">
        <v>26</v>
      </c>
      <c r="G135" s="9" t="s">
        <v>29</v>
      </c>
      <c r="H135" s="9">
        <v>992.17</v>
      </c>
      <c r="I135" s="9">
        <v>1263.49</v>
      </c>
      <c r="J135" s="9" t="s">
        <v>17</v>
      </c>
      <c r="K135" s="9">
        <v>0.25</v>
      </c>
      <c r="L135" s="9" t="s">
        <v>27</v>
      </c>
      <c r="M135" s="9" t="s">
        <v>22</v>
      </c>
      <c r="N135" s="9" t="s">
        <v>39</v>
      </c>
      <c r="O135" s="9"/>
    </row>
    <row r="136" spans="2:15" x14ac:dyDescent="0.25">
      <c r="B136" s="20">
        <v>45279</v>
      </c>
      <c r="C136" s="9" t="s">
        <v>42</v>
      </c>
      <c r="D136" s="9" t="s">
        <v>34</v>
      </c>
      <c r="E136" s="9">
        <v>8452.1299999999992</v>
      </c>
      <c r="F136" s="9">
        <v>20</v>
      </c>
      <c r="G136" s="9" t="s">
        <v>29</v>
      </c>
      <c r="H136" s="9">
        <v>4590.24</v>
      </c>
      <c r="I136" s="9">
        <v>5088.28</v>
      </c>
      <c r="J136" s="9" t="s">
        <v>30</v>
      </c>
      <c r="K136" s="9">
        <v>0.16</v>
      </c>
      <c r="L136" s="9" t="s">
        <v>27</v>
      </c>
      <c r="M136" s="9" t="s">
        <v>22</v>
      </c>
      <c r="N136" s="9" t="s">
        <v>52</v>
      </c>
      <c r="O136" s="9"/>
    </row>
    <row r="137" spans="2:15" x14ac:dyDescent="0.25">
      <c r="B137" s="20">
        <v>44949</v>
      </c>
      <c r="C137" s="9" t="s">
        <v>14</v>
      </c>
      <c r="D137" s="9" t="s">
        <v>15</v>
      </c>
      <c r="E137" s="9">
        <v>9813.81</v>
      </c>
      <c r="F137" s="9">
        <v>40</v>
      </c>
      <c r="G137" s="9" t="s">
        <v>29</v>
      </c>
      <c r="H137" s="9">
        <v>2790.11</v>
      </c>
      <c r="I137" s="9">
        <v>3192.37</v>
      </c>
      <c r="J137" s="9" t="s">
        <v>17</v>
      </c>
      <c r="K137" s="9">
        <v>0.26</v>
      </c>
      <c r="L137" s="9" t="s">
        <v>27</v>
      </c>
      <c r="M137" s="9" t="s">
        <v>19</v>
      </c>
      <c r="N137" s="9" t="s">
        <v>20</v>
      </c>
      <c r="O137" s="9"/>
    </row>
    <row r="138" spans="2:15" x14ac:dyDescent="0.25">
      <c r="B138" s="20">
        <v>44989</v>
      </c>
      <c r="C138" s="9" t="s">
        <v>24</v>
      </c>
      <c r="D138" s="9" t="s">
        <v>34</v>
      </c>
      <c r="E138" s="9">
        <v>7952.11</v>
      </c>
      <c r="F138" s="9">
        <v>10</v>
      </c>
      <c r="G138" s="9" t="s">
        <v>16</v>
      </c>
      <c r="H138" s="9">
        <v>1531.2</v>
      </c>
      <c r="I138" s="9">
        <v>1955.56</v>
      </c>
      <c r="J138" s="9" t="s">
        <v>30</v>
      </c>
      <c r="K138" s="9">
        <v>0</v>
      </c>
      <c r="L138" s="9" t="s">
        <v>31</v>
      </c>
      <c r="M138" s="9" t="s">
        <v>19</v>
      </c>
      <c r="N138" s="9" t="s">
        <v>50</v>
      </c>
      <c r="O138" s="9"/>
    </row>
    <row r="139" spans="2:15" x14ac:dyDescent="0.25">
      <c r="B139" s="20">
        <v>45069</v>
      </c>
      <c r="C139" s="9" t="s">
        <v>14</v>
      </c>
      <c r="D139" s="9" t="s">
        <v>21</v>
      </c>
      <c r="E139" s="9">
        <v>8552.4699999999993</v>
      </c>
      <c r="F139" s="9">
        <v>19</v>
      </c>
      <c r="G139" s="9" t="s">
        <v>26</v>
      </c>
      <c r="H139" s="9">
        <v>2182.75</v>
      </c>
      <c r="I139" s="9">
        <v>2504.0299999999902</v>
      </c>
      <c r="J139" s="9" t="s">
        <v>30</v>
      </c>
      <c r="K139" s="9">
        <v>0.01</v>
      </c>
      <c r="L139" s="9" t="s">
        <v>27</v>
      </c>
      <c r="M139" s="9" t="s">
        <v>19</v>
      </c>
      <c r="N139" s="9" t="s">
        <v>23</v>
      </c>
      <c r="O139" s="9"/>
    </row>
    <row r="140" spans="2:15" x14ac:dyDescent="0.25">
      <c r="B140" s="20">
        <v>45079</v>
      </c>
      <c r="C140" s="9" t="s">
        <v>14</v>
      </c>
      <c r="D140" s="9" t="s">
        <v>34</v>
      </c>
      <c r="E140" s="9">
        <v>2495.5700000000002</v>
      </c>
      <c r="F140" s="9">
        <v>3</v>
      </c>
      <c r="G140" s="9" t="s">
        <v>35</v>
      </c>
      <c r="H140" s="9">
        <v>1595.35</v>
      </c>
      <c r="I140" s="9">
        <v>1625.70999999999</v>
      </c>
      <c r="J140" s="9" t="s">
        <v>30</v>
      </c>
      <c r="K140" s="9">
        <v>0.27</v>
      </c>
      <c r="L140" s="9" t="s">
        <v>18</v>
      </c>
      <c r="M140" s="9" t="s">
        <v>19</v>
      </c>
      <c r="N140" s="9" t="s">
        <v>46</v>
      </c>
      <c r="O140" s="9"/>
    </row>
    <row r="141" spans="2:15" x14ac:dyDescent="0.25">
      <c r="B141" s="20">
        <v>45071</v>
      </c>
      <c r="C141" s="9" t="s">
        <v>42</v>
      </c>
      <c r="D141" s="9" t="s">
        <v>15</v>
      </c>
      <c r="E141" s="9">
        <v>9610.2099999999991</v>
      </c>
      <c r="F141" s="9">
        <v>24</v>
      </c>
      <c r="G141" s="9" t="s">
        <v>29</v>
      </c>
      <c r="H141" s="9">
        <v>3639.3</v>
      </c>
      <c r="I141" s="9">
        <v>3750.63</v>
      </c>
      <c r="J141" s="9" t="s">
        <v>30</v>
      </c>
      <c r="K141" s="9">
        <v>0.23</v>
      </c>
      <c r="L141" s="9" t="s">
        <v>27</v>
      </c>
      <c r="M141" s="9" t="s">
        <v>22</v>
      </c>
      <c r="N141" s="9" t="s">
        <v>49</v>
      </c>
      <c r="O141" s="9"/>
    </row>
    <row r="142" spans="2:15" x14ac:dyDescent="0.25">
      <c r="B142" s="20">
        <v>45151</v>
      </c>
      <c r="C142" s="9" t="s">
        <v>42</v>
      </c>
      <c r="D142" s="9" t="s">
        <v>21</v>
      </c>
      <c r="E142" s="9">
        <v>2049.56</v>
      </c>
      <c r="F142" s="9">
        <v>5</v>
      </c>
      <c r="G142" s="9" t="s">
        <v>29</v>
      </c>
      <c r="H142" s="9">
        <v>3991.69</v>
      </c>
      <c r="I142" s="9">
        <v>4454.97</v>
      </c>
      <c r="J142" s="9" t="s">
        <v>30</v>
      </c>
      <c r="K142" s="9">
        <v>0.14000000000000001</v>
      </c>
      <c r="L142" s="9" t="s">
        <v>31</v>
      </c>
      <c r="M142" s="9" t="s">
        <v>22</v>
      </c>
      <c r="N142" s="9" t="s">
        <v>51</v>
      </c>
      <c r="O142" s="9"/>
    </row>
    <row r="143" spans="2:15" x14ac:dyDescent="0.25">
      <c r="B143" s="20">
        <v>45235</v>
      </c>
      <c r="C143" s="9" t="s">
        <v>42</v>
      </c>
      <c r="D143" s="9" t="s">
        <v>34</v>
      </c>
      <c r="E143" s="9">
        <v>9519.16</v>
      </c>
      <c r="F143" s="9">
        <v>3</v>
      </c>
      <c r="G143" s="9" t="s">
        <v>16</v>
      </c>
      <c r="H143" s="9">
        <v>4173.04</v>
      </c>
      <c r="I143" s="9">
        <v>4362.4399999999996</v>
      </c>
      <c r="J143" s="9" t="s">
        <v>30</v>
      </c>
      <c r="K143" s="9">
        <v>0.23</v>
      </c>
      <c r="L143" s="9" t="s">
        <v>27</v>
      </c>
      <c r="M143" s="9" t="s">
        <v>22</v>
      </c>
      <c r="N143" s="9" t="s">
        <v>52</v>
      </c>
      <c r="O143" s="9"/>
    </row>
    <row r="144" spans="2:15" x14ac:dyDescent="0.25">
      <c r="B144" s="20">
        <v>45030</v>
      </c>
      <c r="C144" s="9" t="s">
        <v>42</v>
      </c>
      <c r="D144" s="9" t="s">
        <v>34</v>
      </c>
      <c r="E144" s="9">
        <v>9948.7099999999991</v>
      </c>
      <c r="F144" s="9">
        <v>27</v>
      </c>
      <c r="G144" s="9" t="s">
        <v>26</v>
      </c>
      <c r="H144" s="9">
        <v>4929.55</v>
      </c>
      <c r="I144" s="9">
        <v>4990.33</v>
      </c>
      <c r="J144" s="9" t="s">
        <v>17</v>
      </c>
      <c r="K144" s="9">
        <v>0.28999999999999998</v>
      </c>
      <c r="L144" s="9" t="s">
        <v>31</v>
      </c>
      <c r="M144" s="9" t="s">
        <v>19</v>
      </c>
      <c r="N144" s="9" t="s">
        <v>52</v>
      </c>
      <c r="O144" s="9"/>
    </row>
    <row r="145" spans="2:15" x14ac:dyDescent="0.25">
      <c r="B145" s="20">
        <v>45030</v>
      </c>
      <c r="C145" s="9" t="s">
        <v>38</v>
      </c>
      <c r="D145" s="9" t="s">
        <v>21</v>
      </c>
      <c r="E145" s="9">
        <v>7146.06</v>
      </c>
      <c r="F145" s="9">
        <v>16</v>
      </c>
      <c r="G145" s="9" t="s">
        <v>29</v>
      </c>
      <c r="H145" s="9">
        <v>3966.86</v>
      </c>
      <c r="I145" s="9">
        <v>4321.04</v>
      </c>
      <c r="J145" s="9" t="s">
        <v>17</v>
      </c>
      <c r="K145" s="9">
        <v>0.23</v>
      </c>
      <c r="L145" s="9" t="s">
        <v>31</v>
      </c>
      <c r="M145" s="9" t="s">
        <v>22</v>
      </c>
      <c r="N145" s="9" t="s">
        <v>41</v>
      </c>
      <c r="O145" s="9"/>
    </row>
    <row r="146" spans="2:15" x14ac:dyDescent="0.25">
      <c r="B146" s="20">
        <v>44965</v>
      </c>
      <c r="C146" s="9" t="s">
        <v>42</v>
      </c>
      <c r="D146" s="9" t="s">
        <v>25</v>
      </c>
      <c r="E146" s="9">
        <v>9813.32</v>
      </c>
      <c r="F146" s="9">
        <v>49</v>
      </c>
      <c r="G146" s="9" t="s">
        <v>16</v>
      </c>
      <c r="H146" s="9">
        <v>3026.85</v>
      </c>
      <c r="I146" s="9">
        <v>3183.58</v>
      </c>
      <c r="J146" s="9" t="s">
        <v>17</v>
      </c>
      <c r="K146" s="9">
        <v>0.25</v>
      </c>
      <c r="L146" s="9" t="s">
        <v>18</v>
      </c>
      <c r="M146" s="9" t="s">
        <v>22</v>
      </c>
      <c r="N146" s="9" t="s">
        <v>43</v>
      </c>
      <c r="O146" s="9"/>
    </row>
    <row r="147" spans="2:15" x14ac:dyDescent="0.25">
      <c r="B147" s="20">
        <v>45124</v>
      </c>
      <c r="C147" s="9" t="s">
        <v>38</v>
      </c>
      <c r="D147" s="9" t="s">
        <v>21</v>
      </c>
      <c r="E147" s="9">
        <v>5738.44</v>
      </c>
      <c r="F147" s="9">
        <v>15</v>
      </c>
      <c r="G147" s="9" t="s">
        <v>35</v>
      </c>
      <c r="H147" s="9">
        <v>1729.14</v>
      </c>
      <c r="I147" s="9">
        <v>1870.88</v>
      </c>
      <c r="J147" s="9" t="s">
        <v>17</v>
      </c>
      <c r="K147" s="9">
        <v>0.23</v>
      </c>
      <c r="L147" s="9" t="s">
        <v>18</v>
      </c>
      <c r="M147" s="9" t="s">
        <v>19</v>
      </c>
      <c r="N147" s="9" t="s">
        <v>41</v>
      </c>
      <c r="O147" s="9"/>
    </row>
    <row r="148" spans="2:15" x14ac:dyDescent="0.25">
      <c r="B148" s="20">
        <v>45060</v>
      </c>
      <c r="C148" s="9" t="s">
        <v>38</v>
      </c>
      <c r="D148" s="9" t="s">
        <v>25</v>
      </c>
      <c r="E148" s="9">
        <v>2669.46</v>
      </c>
      <c r="F148" s="9">
        <v>35</v>
      </c>
      <c r="G148" s="9" t="s">
        <v>35</v>
      </c>
      <c r="H148" s="9">
        <v>2745.75</v>
      </c>
      <c r="I148" s="9">
        <v>3244.76</v>
      </c>
      <c r="J148" s="9" t="s">
        <v>30</v>
      </c>
      <c r="K148" s="9">
        <v>0.05</v>
      </c>
      <c r="L148" s="9" t="s">
        <v>27</v>
      </c>
      <c r="M148" s="9" t="s">
        <v>19</v>
      </c>
      <c r="N148" s="9" t="s">
        <v>39</v>
      </c>
      <c r="O148" s="9"/>
    </row>
    <row r="149" spans="2:15" x14ac:dyDescent="0.25">
      <c r="B149" s="20">
        <v>44993</v>
      </c>
      <c r="C149" s="9" t="s">
        <v>42</v>
      </c>
      <c r="D149" s="9" t="s">
        <v>15</v>
      </c>
      <c r="E149" s="9">
        <v>4426.26</v>
      </c>
      <c r="F149" s="9">
        <v>12</v>
      </c>
      <c r="G149" s="9" t="s">
        <v>29</v>
      </c>
      <c r="H149" s="9">
        <v>253.29</v>
      </c>
      <c r="I149" s="9">
        <v>683.78</v>
      </c>
      <c r="J149" s="9" t="s">
        <v>30</v>
      </c>
      <c r="K149" s="9">
        <v>0.25</v>
      </c>
      <c r="L149" s="9" t="s">
        <v>31</v>
      </c>
      <c r="M149" s="9" t="s">
        <v>19</v>
      </c>
      <c r="N149" s="9" t="s">
        <v>49</v>
      </c>
      <c r="O149" s="9"/>
    </row>
    <row r="150" spans="2:15" x14ac:dyDescent="0.25">
      <c r="B150" s="20">
        <v>45105</v>
      </c>
      <c r="C150" s="9" t="s">
        <v>33</v>
      </c>
      <c r="D150" s="9" t="s">
        <v>15</v>
      </c>
      <c r="E150" s="9">
        <v>5976.25</v>
      </c>
      <c r="F150" s="9">
        <v>41</v>
      </c>
      <c r="G150" s="9" t="s">
        <v>29</v>
      </c>
      <c r="H150" s="9">
        <v>3736.88</v>
      </c>
      <c r="I150" s="9">
        <v>3946.77</v>
      </c>
      <c r="J150" s="9" t="s">
        <v>17</v>
      </c>
      <c r="K150" s="9">
        <v>0.06</v>
      </c>
      <c r="L150" s="9" t="s">
        <v>31</v>
      </c>
      <c r="M150" s="9" t="s">
        <v>19</v>
      </c>
      <c r="N150" s="9" t="s">
        <v>53</v>
      </c>
      <c r="O150" s="9"/>
    </row>
    <row r="151" spans="2:15" x14ac:dyDescent="0.25">
      <c r="B151" s="20">
        <v>44968</v>
      </c>
      <c r="C151" s="9" t="s">
        <v>24</v>
      </c>
      <c r="D151" s="9" t="s">
        <v>21</v>
      </c>
      <c r="E151" s="9">
        <v>823.51</v>
      </c>
      <c r="F151" s="9">
        <v>44</v>
      </c>
      <c r="G151" s="9" t="s">
        <v>26</v>
      </c>
      <c r="H151" s="9">
        <v>2257.48</v>
      </c>
      <c r="I151" s="9">
        <v>2747.81</v>
      </c>
      <c r="J151" s="9" t="s">
        <v>17</v>
      </c>
      <c r="K151" s="9">
        <v>0.27</v>
      </c>
      <c r="L151" s="9" t="s">
        <v>18</v>
      </c>
      <c r="M151" s="9" t="s">
        <v>19</v>
      </c>
      <c r="N151" s="9" t="s">
        <v>47</v>
      </c>
      <c r="O151" s="9"/>
    </row>
    <row r="152" spans="2:15" x14ac:dyDescent="0.25">
      <c r="B152" s="20">
        <v>44941</v>
      </c>
      <c r="C152" s="9" t="s">
        <v>14</v>
      </c>
      <c r="D152" s="9" t="s">
        <v>21</v>
      </c>
      <c r="E152" s="9">
        <v>6261.2</v>
      </c>
      <c r="F152" s="9">
        <v>26</v>
      </c>
      <c r="G152" s="9" t="s">
        <v>26</v>
      </c>
      <c r="H152" s="9">
        <v>149.11000000000001</v>
      </c>
      <c r="I152" s="9">
        <v>477.67</v>
      </c>
      <c r="J152" s="9" t="s">
        <v>17</v>
      </c>
      <c r="K152" s="9">
        <v>0.14000000000000001</v>
      </c>
      <c r="L152" s="9" t="s">
        <v>18</v>
      </c>
      <c r="M152" s="9" t="s">
        <v>22</v>
      </c>
      <c r="N152" s="9" t="s">
        <v>23</v>
      </c>
      <c r="O152" s="9"/>
    </row>
    <row r="153" spans="2:15" x14ac:dyDescent="0.25">
      <c r="B153" s="20">
        <v>45037</v>
      </c>
      <c r="C153" s="9" t="s">
        <v>38</v>
      </c>
      <c r="D153" s="9" t="s">
        <v>15</v>
      </c>
      <c r="E153" s="9">
        <v>9813.66</v>
      </c>
      <c r="F153" s="9">
        <v>47</v>
      </c>
      <c r="G153" s="9" t="s">
        <v>29</v>
      </c>
      <c r="H153" s="9">
        <v>359.41</v>
      </c>
      <c r="I153" s="9">
        <v>733</v>
      </c>
      <c r="J153" s="9" t="s">
        <v>17</v>
      </c>
      <c r="K153" s="9">
        <v>0.2</v>
      </c>
      <c r="L153" s="9" t="s">
        <v>27</v>
      </c>
      <c r="M153" s="9" t="s">
        <v>22</v>
      </c>
      <c r="N153" s="9" t="s">
        <v>40</v>
      </c>
      <c r="O153" s="9"/>
    </row>
    <row r="154" spans="2:15" x14ac:dyDescent="0.25">
      <c r="B154" s="20">
        <v>45083</v>
      </c>
      <c r="C154" s="9" t="s">
        <v>24</v>
      </c>
      <c r="D154" s="9" t="s">
        <v>25</v>
      </c>
      <c r="E154" s="9">
        <v>1982.07</v>
      </c>
      <c r="F154" s="9">
        <v>34</v>
      </c>
      <c r="G154" s="9" t="s">
        <v>16</v>
      </c>
      <c r="H154" s="9">
        <v>1967.96</v>
      </c>
      <c r="I154" s="9">
        <v>1993.4</v>
      </c>
      <c r="J154" s="9" t="s">
        <v>17</v>
      </c>
      <c r="K154" s="9">
        <v>0.15</v>
      </c>
      <c r="L154" s="9" t="s">
        <v>31</v>
      </c>
      <c r="M154" s="9" t="s">
        <v>19</v>
      </c>
      <c r="N154" s="9" t="s">
        <v>28</v>
      </c>
      <c r="O154" s="9"/>
    </row>
    <row r="155" spans="2:15" x14ac:dyDescent="0.25">
      <c r="B155" s="20">
        <v>45215</v>
      </c>
      <c r="C155" s="9" t="s">
        <v>33</v>
      </c>
      <c r="D155" s="9" t="s">
        <v>15</v>
      </c>
      <c r="E155" s="9">
        <v>7946.69</v>
      </c>
      <c r="F155" s="9">
        <v>23</v>
      </c>
      <c r="G155" s="9" t="s">
        <v>26</v>
      </c>
      <c r="H155" s="9">
        <v>2937.94</v>
      </c>
      <c r="I155" s="9">
        <v>3007.53</v>
      </c>
      <c r="J155" s="9" t="s">
        <v>17</v>
      </c>
      <c r="K155" s="9">
        <v>0.03</v>
      </c>
      <c r="L155" s="9" t="s">
        <v>18</v>
      </c>
      <c r="M155" s="9" t="s">
        <v>22</v>
      </c>
      <c r="N155" s="9" t="s">
        <v>53</v>
      </c>
      <c r="O155" s="9"/>
    </row>
    <row r="156" spans="2:15" x14ac:dyDescent="0.25">
      <c r="B156" s="20">
        <v>45157</v>
      </c>
      <c r="C156" s="9" t="s">
        <v>14</v>
      </c>
      <c r="D156" s="9" t="s">
        <v>21</v>
      </c>
      <c r="E156" s="9">
        <v>9088.2000000000007</v>
      </c>
      <c r="F156" s="9">
        <v>31</v>
      </c>
      <c r="G156" s="9" t="s">
        <v>29</v>
      </c>
      <c r="H156" s="9">
        <v>2347.81</v>
      </c>
      <c r="I156" s="9">
        <v>2668.02</v>
      </c>
      <c r="J156" s="9" t="s">
        <v>17</v>
      </c>
      <c r="K156" s="9">
        <v>0.09</v>
      </c>
      <c r="L156" s="9" t="s">
        <v>27</v>
      </c>
      <c r="M156" s="9" t="s">
        <v>22</v>
      </c>
      <c r="N156" s="9" t="s">
        <v>23</v>
      </c>
      <c r="O156" s="9"/>
    </row>
    <row r="157" spans="2:15" x14ac:dyDescent="0.25">
      <c r="B157" s="20">
        <v>45083</v>
      </c>
      <c r="C157" s="9" t="s">
        <v>14</v>
      </c>
      <c r="D157" s="9" t="s">
        <v>15</v>
      </c>
      <c r="E157" s="9">
        <v>9442.65</v>
      </c>
      <c r="F157" s="9">
        <v>20</v>
      </c>
      <c r="G157" s="9" t="s">
        <v>26</v>
      </c>
      <c r="H157" s="9">
        <v>3115.06</v>
      </c>
      <c r="I157" s="9">
        <v>3565.58</v>
      </c>
      <c r="J157" s="9" t="s">
        <v>17</v>
      </c>
      <c r="K157" s="9">
        <v>0.3</v>
      </c>
      <c r="L157" s="9" t="s">
        <v>31</v>
      </c>
      <c r="M157" s="9" t="s">
        <v>22</v>
      </c>
      <c r="N157" s="9" t="s">
        <v>20</v>
      </c>
      <c r="O157" s="9"/>
    </row>
    <row r="158" spans="2:15" x14ac:dyDescent="0.25">
      <c r="B158" s="20">
        <v>44964</v>
      </c>
      <c r="C158" s="9" t="s">
        <v>38</v>
      </c>
      <c r="D158" s="9" t="s">
        <v>21</v>
      </c>
      <c r="E158" s="9">
        <v>9605.34</v>
      </c>
      <c r="F158" s="9">
        <v>12</v>
      </c>
      <c r="G158" s="9" t="s">
        <v>29</v>
      </c>
      <c r="H158" s="9">
        <v>2427.46</v>
      </c>
      <c r="I158" s="9">
        <v>2743.09</v>
      </c>
      <c r="J158" s="9" t="s">
        <v>30</v>
      </c>
      <c r="K158" s="9">
        <v>0.28999999999999998</v>
      </c>
      <c r="L158" s="9" t="s">
        <v>31</v>
      </c>
      <c r="M158" s="9" t="s">
        <v>22</v>
      </c>
      <c r="N158" s="9" t="s">
        <v>41</v>
      </c>
      <c r="O158" s="9"/>
    </row>
    <row r="159" spans="2:15" x14ac:dyDescent="0.25">
      <c r="B159" s="20">
        <v>45023</v>
      </c>
      <c r="C159" s="9" t="s">
        <v>42</v>
      </c>
      <c r="D159" s="9" t="s">
        <v>21</v>
      </c>
      <c r="E159" s="9">
        <v>5262.45</v>
      </c>
      <c r="F159" s="9">
        <v>23</v>
      </c>
      <c r="G159" s="9" t="s">
        <v>35</v>
      </c>
      <c r="H159" s="9">
        <v>3325.43</v>
      </c>
      <c r="I159" s="9">
        <v>3401.1</v>
      </c>
      <c r="J159" s="9" t="s">
        <v>30</v>
      </c>
      <c r="K159" s="9">
        <v>0.1</v>
      </c>
      <c r="L159" s="9" t="s">
        <v>18</v>
      </c>
      <c r="M159" s="9" t="s">
        <v>19</v>
      </c>
      <c r="N159" s="9" t="s">
        <v>51</v>
      </c>
      <c r="O159" s="9"/>
    </row>
    <row r="160" spans="2:15" x14ac:dyDescent="0.25">
      <c r="B160" s="20">
        <v>45215</v>
      </c>
      <c r="C160" s="9" t="s">
        <v>33</v>
      </c>
      <c r="D160" s="9" t="s">
        <v>15</v>
      </c>
      <c r="E160" s="9">
        <v>9775.35</v>
      </c>
      <c r="F160" s="9">
        <v>4</v>
      </c>
      <c r="G160" s="9" t="s">
        <v>29</v>
      </c>
      <c r="H160" s="9">
        <v>1134.67</v>
      </c>
      <c r="I160" s="9">
        <v>1201.3900000000001</v>
      </c>
      <c r="J160" s="9" t="s">
        <v>30</v>
      </c>
      <c r="K160" s="9">
        <v>0.3</v>
      </c>
      <c r="L160" s="9" t="s">
        <v>27</v>
      </c>
      <c r="M160" s="9" t="s">
        <v>22</v>
      </c>
      <c r="N160" s="9" t="s">
        <v>53</v>
      </c>
      <c r="O160" s="9"/>
    </row>
    <row r="161" spans="2:15" x14ac:dyDescent="0.25">
      <c r="B161" s="20">
        <v>45180</v>
      </c>
      <c r="C161" s="9" t="s">
        <v>38</v>
      </c>
      <c r="D161" s="9" t="s">
        <v>25</v>
      </c>
      <c r="E161" s="9">
        <v>7597.37</v>
      </c>
      <c r="F161" s="9">
        <v>23</v>
      </c>
      <c r="G161" s="9" t="s">
        <v>35</v>
      </c>
      <c r="H161" s="9">
        <v>608.57000000000005</v>
      </c>
      <c r="I161" s="9">
        <v>1032.22</v>
      </c>
      <c r="J161" s="9" t="s">
        <v>30</v>
      </c>
      <c r="K161" s="9">
        <v>0.25</v>
      </c>
      <c r="L161" s="9" t="s">
        <v>18</v>
      </c>
      <c r="M161" s="9" t="s">
        <v>22</v>
      </c>
      <c r="N161" s="9" t="s">
        <v>39</v>
      </c>
      <c r="O161" s="9"/>
    </row>
    <row r="162" spans="2:15" x14ac:dyDescent="0.25">
      <c r="B162" s="20">
        <v>45122</v>
      </c>
      <c r="C162" s="9" t="s">
        <v>33</v>
      </c>
      <c r="D162" s="9" t="s">
        <v>34</v>
      </c>
      <c r="E162" s="9">
        <v>1700.55</v>
      </c>
      <c r="F162" s="9">
        <v>48</v>
      </c>
      <c r="G162" s="9" t="s">
        <v>26</v>
      </c>
      <c r="H162" s="9">
        <v>3002.35</v>
      </c>
      <c r="I162" s="9">
        <v>3080.61</v>
      </c>
      <c r="J162" s="9" t="s">
        <v>17</v>
      </c>
      <c r="K162" s="9">
        <v>0.18</v>
      </c>
      <c r="L162" s="9" t="s">
        <v>27</v>
      </c>
      <c r="M162" s="9" t="s">
        <v>22</v>
      </c>
      <c r="N162" s="9" t="s">
        <v>36</v>
      </c>
      <c r="O162" s="9"/>
    </row>
    <row r="163" spans="2:15" x14ac:dyDescent="0.25">
      <c r="B163" s="20">
        <v>45012</v>
      </c>
      <c r="C163" s="9" t="s">
        <v>42</v>
      </c>
      <c r="D163" s="9" t="s">
        <v>15</v>
      </c>
      <c r="E163" s="9">
        <v>4821.3100000000004</v>
      </c>
      <c r="F163" s="9">
        <v>48</v>
      </c>
      <c r="G163" s="9" t="s">
        <v>29</v>
      </c>
      <c r="H163" s="9">
        <v>2449.21</v>
      </c>
      <c r="I163" s="9">
        <v>2714.12</v>
      </c>
      <c r="J163" s="9" t="s">
        <v>30</v>
      </c>
      <c r="K163" s="9">
        <v>0.01</v>
      </c>
      <c r="L163" s="9" t="s">
        <v>31</v>
      </c>
      <c r="M163" s="9" t="s">
        <v>19</v>
      </c>
      <c r="N163" s="9" t="s">
        <v>49</v>
      </c>
      <c r="O163" s="9"/>
    </row>
    <row r="164" spans="2:15" x14ac:dyDescent="0.25">
      <c r="B164" s="20">
        <v>45248</v>
      </c>
      <c r="C164" s="9" t="s">
        <v>42</v>
      </c>
      <c r="D164" s="9" t="s">
        <v>34</v>
      </c>
      <c r="E164" s="9">
        <v>7211.48</v>
      </c>
      <c r="F164" s="9">
        <v>1</v>
      </c>
      <c r="G164" s="9" t="s">
        <v>26</v>
      </c>
      <c r="H164" s="9">
        <v>182.99</v>
      </c>
      <c r="I164" s="9">
        <v>211.18</v>
      </c>
      <c r="J164" s="9" t="s">
        <v>17</v>
      </c>
      <c r="K164" s="9">
        <v>0.27</v>
      </c>
      <c r="L164" s="9" t="s">
        <v>27</v>
      </c>
      <c r="M164" s="9" t="s">
        <v>22</v>
      </c>
      <c r="N164" s="9" t="s">
        <v>52</v>
      </c>
      <c r="O164" s="9"/>
    </row>
    <row r="165" spans="2:15" x14ac:dyDescent="0.25">
      <c r="B165" s="20">
        <v>44936</v>
      </c>
      <c r="C165" s="9" t="s">
        <v>38</v>
      </c>
      <c r="D165" s="9" t="s">
        <v>15</v>
      </c>
      <c r="E165" s="9">
        <v>2548.67</v>
      </c>
      <c r="F165" s="9">
        <v>25</v>
      </c>
      <c r="G165" s="9" t="s">
        <v>35</v>
      </c>
      <c r="H165" s="9">
        <v>1933.39</v>
      </c>
      <c r="I165" s="9">
        <v>1982.92</v>
      </c>
      <c r="J165" s="9" t="s">
        <v>30</v>
      </c>
      <c r="K165" s="9">
        <v>0.17</v>
      </c>
      <c r="L165" s="9" t="s">
        <v>27</v>
      </c>
      <c r="M165" s="9" t="s">
        <v>19</v>
      </c>
      <c r="N165" s="9" t="s">
        <v>40</v>
      </c>
      <c r="O165" s="9"/>
    </row>
    <row r="166" spans="2:15" x14ac:dyDescent="0.25">
      <c r="B166" s="20">
        <v>44931</v>
      </c>
      <c r="C166" s="9" t="s">
        <v>42</v>
      </c>
      <c r="D166" s="9" t="s">
        <v>34</v>
      </c>
      <c r="E166" s="9">
        <v>6442.09</v>
      </c>
      <c r="F166" s="9">
        <v>2</v>
      </c>
      <c r="G166" s="9" t="s">
        <v>29</v>
      </c>
      <c r="H166" s="9">
        <v>575.32000000000005</v>
      </c>
      <c r="I166" s="9">
        <v>914.77</v>
      </c>
      <c r="J166" s="9" t="s">
        <v>17</v>
      </c>
      <c r="K166" s="9">
        <v>0.26</v>
      </c>
      <c r="L166" s="9" t="s">
        <v>27</v>
      </c>
      <c r="M166" s="9" t="s">
        <v>19</v>
      </c>
      <c r="N166" s="9" t="s">
        <v>52</v>
      </c>
      <c r="O166" s="9"/>
    </row>
    <row r="167" spans="2:15" x14ac:dyDescent="0.25">
      <c r="B167" s="20">
        <v>45049</v>
      </c>
      <c r="C167" s="9" t="s">
        <v>24</v>
      </c>
      <c r="D167" s="9" t="s">
        <v>25</v>
      </c>
      <c r="E167" s="9">
        <v>6699.34</v>
      </c>
      <c r="F167" s="9">
        <v>30</v>
      </c>
      <c r="G167" s="9" t="s">
        <v>26</v>
      </c>
      <c r="H167" s="9">
        <v>2680.22</v>
      </c>
      <c r="I167" s="9">
        <v>3027.9199999999901</v>
      </c>
      <c r="J167" s="9" t="s">
        <v>17</v>
      </c>
      <c r="K167" s="9">
        <v>0.25</v>
      </c>
      <c r="L167" s="9" t="s">
        <v>27</v>
      </c>
      <c r="M167" s="9" t="s">
        <v>19</v>
      </c>
      <c r="N167" s="9" t="s">
        <v>28</v>
      </c>
      <c r="O167" s="9"/>
    </row>
    <row r="168" spans="2:15" x14ac:dyDescent="0.25">
      <c r="B168" s="20">
        <v>45256</v>
      </c>
      <c r="C168" s="9" t="s">
        <v>14</v>
      </c>
      <c r="D168" s="9" t="s">
        <v>25</v>
      </c>
      <c r="E168" s="9">
        <v>1710.73</v>
      </c>
      <c r="F168" s="9">
        <v>3</v>
      </c>
      <c r="G168" s="9" t="s">
        <v>35</v>
      </c>
      <c r="H168" s="9">
        <v>2009.1</v>
      </c>
      <c r="I168" s="9">
        <v>2186.42</v>
      </c>
      <c r="J168" s="9" t="s">
        <v>30</v>
      </c>
      <c r="K168" s="9">
        <v>0.25</v>
      </c>
      <c r="L168" s="9" t="s">
        <v>27</v>
      </c>
      <c r="M168" s="9" t="s">
        <v>19</v>
      </c>
      <c r="N168" s="9" t="s">
        <v>32</v>
      </c>
      <c r="O168" s="9"/>
    </row>
    <row r="169" spans="2:15" x14ac:dyDescent="0.25">
      <c r="B169" s="20">
        <v>45279</v>
      </c>
      <c r="C169" s="9" t="s">
        <v>38</v>
      </c>
      <c r="D169" s="9" t="s">
        <v>15</v>
      </c>
      <c r="E169" s="9">
        <v>5694.34</v>
      </c>
      <c r="F169" s="9">
        <v>21</v>
      </c>
      <c r="G169" s="9" t="s">
        <v>26</v>
      </c>
      <c r="H169" s="9">
        <v>3085.1</v>
      </c>
      <c r="I169" s="9">
        <v>3200.75</v>
      </c>
      <c r="J169" s="9" t="s">
        <v>30</v>
      </c>
      <c r="K169" s="9">
        <v>0.21</v>
      </c>
      <c r="L169" s="9" t="s">
        <v>18</v>
      </c>
      <c r="M169" s="9" t="s">
        <v>22</v>
      </c>
      <c r="N169" s="9" t="s">
        <v>40</v>
      </c>
      <c r="O169" s="9"/>
    </row>
    <row r="170" spans="2:15" x14ac:dyDescent="0.25">
      <c r="B170" s="20">
        <v>45044</v>
      </c>
      <c r="C170" s="9" t="s">
        <v>33</v>
      </c>
      <c r="D170" s="9" t="s">
        <v>21</v>
      </c>
      <c r="E170" s="9">
        <v>7739.11</v>
      </c>
      <c r="F170" s="9">
        <v>25</v>
      </c>
      <c r="G170" s="9" t="s">
        <v>16</v>
      </c>
      <c r="H170" s="9">
        <v>4037.73</v>
      </c>
      <c r="I170" s="9">
        <v>4446.45</v>
      </c>
      <c r="J170" s="9" t="s">
        <v>17</v>
      </c>
      <c r="K170" s="9">
        <v>0.09</v>
      </c>
      <c r="L170" s="9" t="s">
        <v>27</v>
      </c>
      <c r="M170" s="9" t="s">
        <v>19</v>
      </c>
      <c r="N170" s="9" t="s">
        <v>37</v>
      </c>
      <c r="O170" s="9"/>
    </row>
    <row r="171" spans="2:15" x14ac:dyDescent="0.25">
      <c r="B171" s="20">
        <v>45220</v>
      </c>
      <c r="C171" s="9" t="s">
        <v>24</v>
      </c>
      <c r="D171" s="9" t="s">
        <v>34</v>
      </c>
      <c r="E171" s="9">
        <v>5039.07</v>
      </c>
      <c r="F171" s="9">
        <v>20</v>
      </c>
      <c r="G171" s="9" t="s">
        <v>35</v>
      </c>
      <c r="H171" s="9">
        <v>1533.36</v>
      </c>
      <c r="I171" s="9">
        <v>1649.73999999999</v>
      </c>
      <c r="J171" s="9" t="s">
        <v>17</v>
      </c>
      <c r="K171" s="9">
        <v>0.1</v>
      </c>
      <c r="L171" s="9" t="s">
        <v>27</v>
      </c>
      <c r="M171" s="9" t="s">
        <v>19</v>
      </c>
      <c r="N171" s="9" t="s">
        <v>50</v>
      </c>
      <c r="O171" s="9"/>
    </row>
    <row r="172" spans="2:15" x14ac:dyDescent="0.25">
      <c r="B172" s="20">
        <v>45085</v>
      </c>
      <c r="C172" s="9" t="s">
        <v>38</v>
      </c>
      <c r="D172" s="9" t="s">
        <v>21</v>
      </c>
      <c r="E172" s="9">
        <v>219.82</v>
      </c>
      <c r="F172" s="9">
        <v>49</v>
      </c>
      <c r="G172" s="9" t="s">
        <v>35</v>
      </c>
      <c r="H172" s="9">
        <v>4812.41</v>
      </c>
      <c r="I172" s="9">
        <v>5088</v>
      </c>
      <c r="J172" s="9" t="s">
        <v>17</v>
      </c>
      <c r="K172" s="9">
        <v>0.09</v>
      </c>
      <c r="L172" s="9" t="s">
        <v>31</v>
      </c>
      <c r="M172" s="9" t="s">
        <v>19</v>
      </c>
      <c r="N172" s="9" t="s">
        <v>41</v>
      </c>
      <c r="O172" s="9"/>
    </row>
    <row r="173" spans="2:15" x14ac:dyDescent="0.25">
      <c r="B173" s="20">
        <v>45229</v>
      </c>
      <c r="C173" s="9" t="s">
        <v>42</v>
      </c>
      <c r="D173" s="9" t="s">
        <v>21</v>
      </c>
      <c r="E173" s="9">
        <v>189.48</v>
      </c>
      <c r="F173" s="9">
        <v>22</v>
      </c>
      <c r="G173" s="9" t="s">
        <v>35</v>
      </c>
      <c r="H173" s="9">
        <v>2701.39</v>
      </c>
      <c r="I173" s="9">
        <v>3185.81</v>
      </c>
      <c r="J173" s="9" t="s">
        <v>30</v>
      </c>
      <c r="K173" s="9">
        <v>0.01</v>
      </c>
      <c r="L173" s="9" t="s">
        <v>27</v>
      </c>
      <c r="M173" s="9" t="s">
        <v>19</v>
      </c>
      <c r="N173" s="9" t="s">
        <v>51</v>
      </c>
      <c r="O173" s="9"/>
    </row>
    <row r="174" spans="2:15" x14ac:dyDescent="0.25">
      <c r="B174" s="20">
        <v>45154</v>
      </c>
      <c r="C174" s="9" t="s">
        <v>42</v>
      </c>
      <c r="D174" s="9" t="s">
        <v>21</v>
      </c>
      <c r="E174" s="9">
        <v>3634.59</v>
      </c>
      <c r="F174" s="9">
        <v>21</v>
      </c>
      <c r="G174" s="9" t="s">
        <v>29</v>
      </c>
      <c r="H174" s="9">
        <v>3110.54</v>
      </c>
      <c r="I174" s="9">
        <v>3192.99</v>
      </c>
      <c r="J174" s="9" t="s">
        <v>30</v>
      </c>
      <c r="K174" s="9">
        <v>0.17</v>
      </c>
      <c r="L174" s="9" t="s">
        <v>31</v>
      </c>
      <c r="M174" s="9" t="s">
        <v>19</v>
      </c>
      <c r="N174" s="9" t="s">
        <v>51</v>
      </c>
      <c r="O174" s="9"/>
    </row>
    <row r="175" spans="2:15" x14ac:dyDescent="0.25">
      <c r="B175" s="20">
        <v>45291</v>
      </c>
      <c r="C175" s="9" t="s">
        <v>42</v>
      </c>
      <c r="D175" s="9" t="s">
        <v>25</v>
      </c>
      <c r="E175" s="9">
        <v>9269.32</v>
      </c>
      <c r="F175" s="9">
        <v>33</v>
      </c>
      <c r="G175" s="9" t="s">
        <v>29</v>
      </c>
      <c r="H175" s="9">
        <v>3419.33</v>
      </c>
      <c r="I175" s="9">
        <v>3890.3599999999901</v>
      </c>
      <c r="J175" s="9" t="s">
        <v>17</v>
      </c>
      <c r="K175" s="9">
        <v>0.21</v>
      </c>
      <c r="L175" s="9" t="s">
        <v>18</v>
      </c>
      <c r="M175" s="9" t="s">
        <v>22</v>
      </c>
      <c r="N175" s="9" t="s">
        <v>43</v>
      </c>
      <c r="O175" s="9"/>
    </row>
    <row r="176" spans="2:15" x14ac:dyDescent="0.25">
      <c r="B176" s="20">
        <v>45142</v>
      </c>
      <c r="C176" s="9" t="s">
        <v>42</v>
      </c>
      <c r="D176" s="9" t="s">
        <v>15</v>
      </c>
      <c r="E176" s="9">
        <v>2363.9</v>
      </c>
      <c r="F176" s="9">
        <v>38</v>
      </c>
      <c r="G176" s="9" t="s">
        <v>29</v>
      </c>
      <c r="H176" s="9">
        <v>3350.32</v>
      </c>
      <c r="I176" s="9">
        <v>3449.94</v>
      </c>
      <c r="J176" s="9" t="s">
        <v>30</v>
      </c>
      <c r="K176" s="9">
        <v>0.26</v>
      </c>
      <c r="L176" s="9" t="s">
        <v>18</v>
      </c>
      <c r="M176" s="9" t="s">
        <v>19</v>
      </c>
      <c r="N176" s="9" t="s">
        <v>49</v>
      </c>
      <c r="O176" s="9"/>
    </row>
    <row r="177" spans="2:15" x14ac:dyDescent="0.25">
      <c r="B177" s="20">
        <v>45110</v>
      </c>
      <c r="C177" s="9" t="s">
        <v>33</v>
      </c>
      <c r="D177" s="9" t="s">
        <v>15</v>
      </c>
      <c r="E177" s="9">
        <v>6380.2</v>
      </c>
      <c r="F177" s="9">
        <v>15</v>
      </c>
      <c r="G177" s="9" t="s">
        <v>16</v>
      </c>
      <c r="H177" s="9">
        <v>2579.31</v>
      </c>
      <c r="I177" s="9">
        <v>2867.36</v>
      </c>
      <c r="J177" s="9" t="s">
        <v>17</v>
      </c>
      <c r="K177" s="9">
        <v>0.04</v>
      </c>
      <c r="L177" s="9" t="s">
        <v>27</v>
      </c>
      <c r="M177" s="9" t="s">
        <v>22</v>
      </c>
      <c r="N177" s="9" t="s">
        <v>53</v>
      </c>
      <c r="O177" s="9"/>
    </row>
    <row r="178" spans="2:15" x14ac:dyDescent="0.25">
      <c r="B178" s="20">
        <v>44941</v>
      </c>
      <c r="C178" s="9" t="s">
        <v>24</v>
      </c>
      <c r="D178" s="9" t="s">
        <v>25</v>
      </c>
      <c r="E178" s="9">
        <v>2298.5500000000002</v>
      </c>
      <c r="F178" s="9">
        <v>46</v>
      </c>
      <c r="G178" s="9" t="s">
        <v>16</v>
      </c>
      <c r="H178" s="9">
        <v>2172.38</v>
      </c>
      <c r="I178" s="9">
        <v>2367.11</v>
      </c>
      <c r="J178" s="9" t="s">
        <v>30</v>
      </c>
      <c r="K178" s="9">
        <v>0.16</v>
      </c>
      <c r="L178" s="9" t="s">
        <v>18</v>
      </c>
      <c r="M178" s="9" t="s">
        <v>22</v>
      </c>
      <c r="N178" s="9" t="s">
        <v>28</v>
      </c>
      <c r="O178" s="9"/>
    </row>
    <row r="179" spans="2:15" x14ac:dyDescent="0.25">
      <c r="B179" s="20">
        <v>45083</v>
      </c>
      <c r="C179" s="9" t="s">
        <v>14</v>
      </c>
      <c r="D179" s="9" t="s">
        <v>25</v>
      </c>
      <c r="E179" s="9">
        <v>3284.53</v>
      </c>
      <c r="F179" s="9">
        <v>15</v>
      </c>
      <c r="G179" s="9" t="s">
        <v>35</v>
      </c>
      <c r="H179" s="9">
        <v>316.22000000000003</v>
      </c>
      <c r="I179" s="9">
        <v>799.04</v>
      </c>
      <c r="J179" s="9" t="s">
        <v>30</v>
      </c>
      <c r="K179" s="9">
        <v>0</v>
      </c>
      <c r="L179" s="9" t="s">
        <v>27</v>
      </c>
      <c r="M179" s="9" t="s">
        <v>19</v>
      </c>
      <c r="N179" s="9" t="s">
        <v>32</v>
      </c>
      <c r="O179" s="9"/>
    </row>
    <row r="180" spans="2:15" x14ac:dyDescent="0.25">
      <c r="B180" s="20">
        <v>45062</v>
      </c>
      <c r="C180" s="9" t="s">
        <v>33</v>
      </c>
      <c r="D180" s="9" t="s">
        <v>15</v>
      </c>
      <c r="E180" s="9">
        <v>8495.6200000000008</v>
      </c>
      <c r="F180" s="9">
        <v>46</v>
      </c>
      <c r="G180" s="9" t="s">
        <v>16</v>
      </c>
      <c r="H180" s="9">
        <v>159.32</v>
      </c>
      <c r="I180" s="9">
        <v>303.36</v>
      </c>
      <c r="J180" s="9" t="s">
        <v>30</v>
      </c>
      <c r="K180" s="9">
        <v>0.03</v>
      </c>
      <c r="L180" s="9" t="s">
        <v>18</v>
      </c>
      <c r="M180" s="9" t="s">
        <v>22</v>
      </c>
      <c r="N180" s="9" t="s">
        <v>53</v>
      </c>
      <c r="O180" s="9"/>
    </row>
    <row r="181" spans="2:15" x14ac:dyDescent="0.25">
      <c r="B181" s="20">
        <v>45187</v>
      </c>
      <c r="C181" s="9" t="s">
        <v>33</v>
      </c>
      <c r="D181" s="9" t="s">
        <v>21</v>
      </c>
      <c r="E181" s="9">
        <v>7315.73</v>
      </c>
      <c r="F181" s="9">
        <v>25</v>
      </c>
      <c r="G181" s="9" t="s">
        <v>26</v>
      </c>
      <c r="H181" s="9">
        <v>1821.91</v>
      </c>
      <c r="I181" s="9">
        <v>2027.74</v>
      </c>
      <c r="J181" s="9" t="s">
        <v>30</v>
      </c>
      <c r="K181" s="9">
        <v>0.02</v>
      </c>
      <c r="L181" s="9" t="s">
        <v>27</v>
      </c>
      <c r="M181" s="9" t="s">
        <v>22</v>
      </c>
      <c r="N181" s="9" t="s">
        <v>37</v>
      </c>
      <c r="O181" s="9"/>
    </row>
    <row r="182" spans="2:15" x14ac:dyDescent="0.25">
      <c r="B182" s="20">
        <v>45083</v>
      </c>
      <c r="C182" s="9" t="s">
        <v>14</v>
      </c>
      <c r="D182" s="9" t="s">
        <v>34</v>
      </c>
      <c r="E182" s="9">
        <v>1044.45</v>
      </c>
      <c r="F182" s="9">
        <v>21</v>
      </c>
      <c r="G182" s="9" t="s">
        <v>35</v>
      </c>
      <c r="H182" s="9">
        <v>1701.62</v>
      </c>
      <c r="I182" s="9">
        <v>2193.2199999999998</v>
      </c>
      <c r="J182" s="9" t="s">
        <v>30</v>
      </c>
      <c r="K182" s="9">
        <v>0.22</v>
      </c>
      <c r="L182" s="9" t="s">
        <v>27</v>
      </c>
      <c r="M182" s="9" t="s">
        <v>22</v>
      </c>
      <c r="N182" s="9" t="s">
        <v>46</v>
      </c>
      <c r="O182" s="9"/>
    </row>
    <row r="183" spans="2:15" x14ac:dyDescent="0.25">
      <c r="B183" s="20">
        <v>44973</v>
      </c>
      <c r="C183" s="9" t="s">
        <v>14</v>
      </c>
      <c r="D183" s="9" t="s">
        <v>34</v>
      </c>
      <c r="E183" s="9">
        <v>4344.1499999999996</v>
      </c>
      <c r="F183" s="9">
        <v>24</v>
      </c>
      <c r="G183" s="9" t="s">
        <v>35</v>
      </c>
      <c r="H183" s="9">
        <v>1969.09</v>
      </c>
      <c r="I183" s="9">
        <v>2241.96</v>
      </c>
      <c r="J183" s="9" t="s">
        <v>17</v>
      </c>
      <c r="K183" s="9">
        <v>0.02</v>
      </c>
      <c r="L183" s="9" t="s">
        <v>31</v>
      </c>
      <c r="M183" s="9" t="s">
        <v>19</v>
      </c>
      <c r="N183" s="9" t="s">
        <v>46</v>
      </c>
      <c r="O183" s="9"/>
    </row>
    <row r="184" spans="2:15" x14ac:dyDescent="0.25">
      <c r="B184" s="20">
        <v>45250</v>
      </c>
      <c r="C184" s="9" t="s">
        <v>42</v>
      </c>
      <c r="D184" s="9" t="s">
        <v>34</v>
      </c>
      <c r="E184" s="9">
        <v>388.78</v>
      </c>
      <c r="F184" s="9">
        <v>5</v>
      </c>
      <c r="G184" s="9" t="s">
        <v>26</v>
      </c>
      <c r="H184" s="9">
        <v>734.92</v>
      </c>
      <c r="I184" s="9">
        <v>991.21</v>
      </c>
      <c r="J184" s="9" t="s">
        <v>17</v>
      </c>
      <c r="K184" s="9">
        <v>0.21</v>
      </c>
      <c r="L184" s="9" t="s">
        <v>31</v>
      </c>
      <c r="M184" s="9" t="s">
        <v>19</v>
      </c>
      <c r="N184" s="9" t="s">
        <v>52</v>
      </c>
      <c r="O184" s="9"/>
    </row>
    <row r="185" spans="2:15" x14ac:dyDescent="0.25">
      <c r="B185" s="20">
        <v>45258</v>
      </c>
      <c r="C185" s="9" t="s">
        <v>33</v>
      </c>
      <c r="D185" s="9" t="s">
        <v>21</v>
      </c>
      <c r="E185" s="9">
        <v>4860.8100000000004</v>
      </c>
      <c r="F185" s="9">
        <v>6</v>
      </c>
      <c r="G185" s="9" t="s">
        <v>35</v>
      </c>
      <c r="H185" s="9">
        <v>3703.93</v>
      </c>
      <c r="I185" s="9">
        <v>3840.24</v>
      </c>
      <c r="J185" s="9" t="s">
        <v>30</v>
      </c>
      <c r="K185" s="9">
        <v>7.0000000000000007E-2</v>
      </c>
      <c r="L185" s="9" t="s">
        <v>31</v>
      </c>
      <c r="M185" s="9" t="s">
        <v>19</v>
      </c>
      <c r="N185" s="9" t="s">
        <v>37</v>
      </c>
      <c r="O185" s="9"/>
    </row>
    <row r="186" spans="2:15" x14ac:dyDescent="0.25">
      <c r="B186" s="20">
        <v>45099</v>
      </c>
      <c r="C186" s="9" t="s">
        <v>38</v>
      </c>
      <c r="D186" s="9" t="s">
        <v>15</v>
      </c>
      <c r="E186" s="9">
        <v>6658.1</v>
      </c>
      <c r="F186" s="9">
        <v>49</v>
      </c>
      <c r="G186" s="9" t="s">
        <v>16</v>
      </c>
      <c r="H186" s="9">
        <v>4291.97</v>
      </c>
      <c r="I186" s="9">
        <v>4645.6400000000003</v>
      </c>
      <c r="J186" s="9" t="s">
        <v>17</v>
      </c>
      <c r="K186" s="9">
        <v>0.26</v>
      </c>
      <c r="L186" s="9" t="s">
        <v>31</v>
      </c>
      <c r="M186" s="9" t="s">
        <v>19</v>
      </c>
      <c r="N186" s="9" t="s">
        <v>40</v>
      </c>
      <c r="O186" s="9"/>
    </row>
    <row r="187" spans="2:15" x14ac:dyDescent="0.25">
      <c r="B187" s="20">
        <v>45056</v>
      </c>
      <c r="C187" s="9" t="s">
        <v>14</v>
      </c>
      <c r="D187" s="9" t="s">
        <v>25</v>
      </c>
      <c r="E187" s="9">
        <v>1273.18</v>
      </c>
      <c r="F187" s="9">
        <v>43</v>
      </c>
      <c r="G187" s="9" t="s">
        <v>29</v>
      </c>
      <c r="H187" s="9">
        <v>4696.6400000000003</v>
      </c>
      <c r="I187" s="9">
        <v>4713.68</v>
      </c>
      <c r="J187" s="9" t="s">
        <v>17</v>
      </c>
      <c r="K187" s="9">
        <v>0.24</v>
      </c>
      <c r="L187" s="9" t="s">
        <v>27</v>
      </c>
      <c r="M187" s="9" t="s">
        <v>19</v>
      </c>
      <c r="N187" s="9" t="s">
        <v>32</v>
      </c>
      <c r="O187" s="9"/>
    </row>
    <row r="188" spans="2:15" x14ac:dyDescent="0.25">
      <c r="B188" s="20">
        <v>45021</v>
      </c>
      <c r="C188" s="9" t="s">
        <v>14</v>
      </c>
      <c r="D188" s="9" t="s">
        <v>15</v>
      </c>
      <c r="E188" s="9">
        <v>2959.96</v>
      </c>
      <c r="F188" s="9">
        <v>48</v>
      </c>
      <c r="G188" s="9" t="s">
        <v>26</v>
      </c>
      <c r="H188" s="9">
        <v>2487.19</v>
      </c>
      <c r="I188" s="9">
        <v>2521.4499999999998</v>
      </c>
      <c r="J188" s="9" t="s">
        <v>30</v>
      </c>
      <c r="K188" s="9">
        <v>0.28999999999999998</v>
      </c>
      <c r="L188" s="9" t="s">
        <v>18</v>
      </c>
      <c r="M188" s="9" t="s">
        <v>19</v>
      </c>
      <c r="N188" s="9" t="s">
        <v>20</v>
      </c>
      <c r="O188" s="9"/>
    </row>
    <row r="189" spans="2:15" x14ac:dyDescent="0.25">
      <c r="B189" s="20">
        <v>45041</v>
      </c>
      <c r="C189" s="9" t="s">
        <v>24</v>
      </c>
      <c r="D189" s="9" t="s">
        <v>21</v>
      </c>
      <c r="E189" s="9">
        <v>4038.58</v>
      </c>
      <c r="F189" s="9">
        <v>44</v>
      </c>
      <c r="G189" s="9" t="s">
        <v>16</v>
      </c>
      <c r="H189" s="9">
        <v>3519.29</v>
      </c>
      <c r="I189" s="9">
        <v>3822.98</v>
      </c>
      <c r="J189" s="9" t="s">
        <v>17</v>
      </c>
      <c r="K189" s="9">
        <v>0.27</v>
      </c>
      <c r="L189" s="9" t="s">
        <v>27</v>
      </c>
      <c r="M189" s="9" t="s">
        <v>19</v>
      </c>
      <c r="N189" s="9" t="s">
        <v>47</v>
      </c>
      <c r="O189" s="9"/>
    </row>
    <row r="190" spans="2:15" x14ac:dyDescent="0.25">
      <c r="B190" s="20">
        <v>45169</v>
      </c>
      <c r="C190" s="9" t="s">
        <v>38</v>
      </c>
      <c r="D190" s="9" t="s">
        <v>25</v>
      </c>
      <c r="E190" s="9">
        <v>9203.36</v>
      </c>
      <c r="F190" s="9">
        <v>47</v>
      </c>
      <c r="G190" s="9" t="s">
        <v>26</v>
      </c>
      <c r="H190" s="9">
        <v>4284.9799999999996</v>
      </c>
      <c r="I190" s="9">
        <v>4462.3999999999996</v>
      </c>
      <c r="J190" s="9" t="s">
        <v>30</v>
      </c>
      <c r="K190" s="9">
        <v>0.28000000000000003</v>
      </c>
      <c r="L190" s="9" t="s">
        <v>31</v>
      </c>
      <c r="M190" s="9" t="s">
        <v>22</v>
      </c>
      <c r="N190" s="9" t="s">
        <v>39</v>
      </c>
      <c r="O190" s="9"/>
    </row>
    <row r="191" spans="2:15" x14ac:dyDescent="0.25">
      <c r="B191" s="20">
        <v>45218</v>
      </c>
      <c r="C191" s="9" t="s">
        <v>38</v>
      </c>
      <c r="D191" s="9" t="s">
        <v>21</v>
      </c>
      <c r="E191" s="9">
        <v>9933.2199999999993</v>
      </c>
      <c r="F191" s="9">
        <v>23</v>
      </c>
      <c r="G191" s="9" t="s">
        <v>26</v>
      </c>
      <c r="H191" s="9">
        <v>2120.54</v>
      </c>
      <c r="I191" s="9">
        <v>2597.67</v>
      </c>
      <c r="J191" s="9" t="s">
        <v>17</v>
      </c>
      <c r="K191" s="9">
        <v>0.26</v>
      </c>
      <c r="L191" s="9" t="s">
        <v>31</v>
      </c>
      <c r="M191" s="9" t="s">
        <v>22</v>
      </c>
      <c r="N191" s="9" t="s">
        <v>41</v>
      </c>
      <c r="O191" s="9"/>
    </row>
    <row r="192" spans="2:15" x14ac:dyDescent="0.25">
      <c r="B192" s="20">
        <v>45208</v>
      </c>
      <c r="C192" s="9" t="s">
        <v>14</v>
      </c>
      <c r="D192" s="9" t="s">
        <v>34</v>
      </c>
      <c r="E192" s="9">
        <v>544.62</v>
      </c>
      <c r="F192" s="9">
        <v>4</v>
      </c>
      <c r="G192" s="9" t="s">
        <v>35</v>
      </c>
      <c r="H192" s="9">
        <v>1581.59</v>
      </c>
      <c r="I192" s="9">
        <v>2034.1499999999901</v>
      </c>
      <c r="J192" s="9" t="s">
        <v>17</v>
      </c>
      <c r="K192" s="9">
        <v>0.21</v>
      </c>
      <c r="L192" s="9" t="s">
        <v>18</v>
      </c>
      <c r="M192" s="9" t="s">
        <v>19</v>
      </c>
      <c r="N192" s="9" t="s">
        <v>46</v>
      </c>
      <c r="O192" s="9"/>
    </row>
    <row r="193" spans="2:15" x14ac:dyDescent="0.25">
      <c r="B193" s="20">
        <v>45225</v>
      </c>
      <c r="C193" s="9" t="s">
        <v>42</v>
      </c>
      <c r="D193" s="9" t="s">
        <v>34</v>
      </c>
      <c r="E193" s="9">
        <v>7633.98</v>
      </c>
      <c r="F193" s="9">
        <v>27</v>
      </c>
      <c r="G193" s="9" t="s">
        <v>35</v>
      </c>
      <c r="H193" s="9">
        <v>4686.79</v>
      </c>
      <c r="I193" s="9">
        <v>5046.51</v>
      </c>
      <c r="J193" s="9" t="s">
        <v>17</v>
      </c>
      <c r="K193" s="9">
        <v>0.05</v>
      </c>
      <c r="L193" s="9" t="s">
        <v>31</v>
      </c>
      <c r="M193" s="9" t="s">
        <v>22</v>
      </c>
      <c r="N193" s="9" t="s">
        <v>52</v>
      </c>
      <c r="O193" s="9"/>
    </row>
    <row r="194" spans="2:15" x14ac:dyDescent="0.25">
      <c r="B194" s="20">
        <v>45209</v>
      </c>
      <c r="C194" s="9" t="s">
        <v>24</v>
      </c>
      <c r="D194" s="9" t="s">
        <v>21</v>
      </c>
      <c r="E194" s="9">
        <v>3780.07</v>
      </c>
      <c r="F194" s="9">
        <v>18</v>
      </c>
      <c r="G194" s="9" t="s">
        <v>16</v>
      </c>
      <c r="H194" s="9">
        <v>2602.6</v>
      </c>
      <c r="I194" s="9">
        <v>3013.49</v>
      </c>
      <c r="J194" s="9" t="s">
        <v>17</v>
      </c>
      <c r="K194" s="9">
        <v>0.08</v>
      </c>
      <c r="L194" s="9" t="s">
        <v>27</v>
      </c>
      <c r="M194" s="9" t="s">
        <v>19</v>
      </c>
      <c r="N194" s="9" t="s">
        <v>47</v>
      </c>
      <c r="O194" s="9"/>
    </row>
    <row r="195" spans="2:15" x14ac:dyDescent="0.25">
      <c r="B195" s="20">
        <v>44995</v>
      </c>
      <c r="C195" s="9" t="s">
        <v>38</v>
      </c>
      <c r="D195" s="9" t="s">
        <v>25</v>
      </c>
      <c r="E195" s="9">
        <v>3985.34</v>
      </c>
      <c r="F195" s="9">
        <v>21</v>
      </c>
      <c r="G195" s="9" t="s">
        <v>26</v>
      </c>
      <c r="H195" s="9">
        <v>2511.41</v>
      </c>
      <c r="I195" s="9">
        <v>2848.3999999999901</v>
      </c>
      <c r="J195" s="9" t="s">
        <v>17</v>
      </c>
      <c r="K195" s="9">
        <v>0.06</v>
      </c>
      <c r="L195" s="9" t="s">
        <v>27</v>
      </c>
      <c r="M195" s="9" t="s">
        <v>19</v>
      </c>
      <c r="N195" s="9" t="s">
        <v>39</v>
      </c>
      <c r="O195" s="9"/>
    </row>
    <row r="196" spans="2:15" x14ac:dyDescent="0.25">
      <c r="B196" s="20">
        <v>45074</v>
      </c>
      <c r="C196" s="9" t="s">
        <v>14</v>
      </c>
      <c r="D196" s="9" t="s">
        <v>25</v>
      </c>
      <c r="E196" s="9">
        <v>7567.22</v>
      </c>
      <c r="F196" s="9">
        <v>28</v>
      </c>
      <c r="G196" s="9" t="s">
        <v>35</v>
      </c>
      <c r="H196" s="9">
        <v>933.16</v>
      </c>
      <c r="I196" s="9">
        <v>1004.69999999999</v>
      </c>
      <c r="J196" s="9" t="s">
        <v>17</v>
      </c>
      <c r="K196" s="9">
        <v>0.18</v>
      </c>
      <c r="L196" s="9" t="s">
        <v>27</v>
      </c>
      <c r="M196" s="9" t="s">
        <v>19</v>
      </c>
      <c r="N196" s="9" t="s">
        <v>32</v>
      </c>
      <c r="O196" s="9"/>
    </row>
    <row r="197" spans="2:15" x14ac:dyDescent="0.25">
      <c r="B197" s="20">
        <v>44937</v>
      </c>
      <c r="C197" s="9" t="s">
        <v>38</v>
      </c>
      <c r="D197" s="9" t="s">
        <v>15</v>
      </c>
      <c r="E197" s="9">
        <v>9192.42</v>
      </c>
      <c r="F197" s="9">
        <v>35</v>
      </c>
      <c r="G197" s="9" t="s">
        <v>35</v>
      </c>
      <c r="H197" s="9">
        <v>585.37</v>
      </c>
      <c r="I197" s="9">
        <v>970.49</v>
      </c>
      <c r="J197" s="9" t="s">
        <v>17</v>
      </c>
      <c r="K197" s="9">
        <v>0.15</v>
      </c>
      <c r="L197" s="9" t="s">
        <v>27</v>
      </c>
      <c r="M197" s="9" t="s">
        <v>22</v>
      </c>
      <c r="N197" s="9" t="s">
        <v>40</v>
      </c>
      <c r="O197" s="9"/>
    </row>
    <row r="198" spans="2:15" x14ac:dyDescent="0.25">
      <c r="B198" s="20">
        <v>45180</v>
      </c>
      <c r="C198" s="9" t="s">
        <v>24</v>
      </c>
      <c r="D198" s="9" t="s">
        <v>34</v>
      </c>
      <c r="E198" s="9">
        <v>9514.19</v>
      </c>
      <c r="F198" s="9">
        <v>22</v>
      </c>
      <c r="G198" s="9" t="s">
        <v>26</v>
      </c>
      <c r="H198" s="9">
        <v>4218.43</v>
      </c>
      <c r="I198" s="9">
        <v>4331.42</v>
      </c>
      <c r="J198" s="9" t="s">
        <v>30</v>
      </c>
      <c r="K198" s="9">
        <v>0.26</v>
      </c>
      <c r="L198" s="9" t="s">
        <v>27</v>
      </c>
      <c r="M198" s="9" t="s">
        <v>19</v>
      </c>
      <c r="N198" s="9" t="s">
        <v>50</v>
      </c>
      <c r="O198" s="9"/>
    </row>
    <row r="199" spans="2:15" x14ac:dyDescent="0.25">
      <c r="B199" s="20">
        <v>45256</v>
      </c>
      <c r="C199" s="9" t="s">
        <v>24</v>
      </c>
      <c r="D199" s="9" t="s">
        <v>15</v>
      </c>
      <c r="E199" s="9">
        <v>5813.51</v>
      </c>
      <c r="F199" s="9">
        <v>40</v>
      </c>
      <c r="G199" s="9" t="s">
        <v>16</v>
      </c>
      <c r="H199" s="9">
        <v>3089.96</v>
      </c>
      <c r="I199" s="9">
        <v>3258.45</v>
      </c>
      <c r="J199" s="9" t="s">
        <v>30</v>
      </c>
      <c r="K199" s="9">
        <v>0.28999999999999998</v>
      </c>
      <c r="L199" s="9" t="s">
        <v>18</v>
      </c>
      <c r="M199" s="9" t="s">
        <v>19</v>
      </c>
      <c r="N199" s="9" t="s">
        <v>45</v>
      </c>
      <c r="O199" s="9"/>
    </row>
    <row r="200" spans="2:15" x14ac:dyDescent="0.25">
      <c r="B200" s="20">
        <v>45286</v>
      </c>
      <c r="C200" s="9" t="s">
        <v>33</v>
      </c>
      <c r="D200" s="9" t="s">
        <v>15</v>
      </c>
      <c r="E200" s="9">
        <v>3635.5</v>
      </c>
      <c r="F200" s="9">
        <v>23</v>
      </c>
      <c r="G200" s="9" t="s">
        <v>16</v>
      </c>
      <c r="H200" s="9">
        <v>1662.83</v>
      </c>
      <c r="I200" s="9">
        <v>2074.25</v>
      </c>
      <c r="J200" s="9" t="s">
        <v>30</v>
      </c>
      <c r="K200" s="9">
        <v>0.12</v>
      </c>
      <c r="L200" s="9" t="s">
        <v>27</v>
      </c>
      <c r="M200" s="9" t="s">
        <v>19</v>
      </c>
      <c r="N200" s="9" t="s">
        <v>53</v>
      </c>
      <c r="O200" s="9"/>
    </row>
    <row r="201" spans="2:15" x14ac:dyDescent="0.25">
      <c r="B201" s="20">
        <v>44964</v>
      </c>
      <c r="C201" s="9" t="s">
        <v>14</v>
      </c>
      <c r="D201" s="9" t="s">
        <v>21</v>
      </c>
      <c r="E201" s="9">
        <v>7896.74</v>
      </c>
      <c r="F201" s="9">
        <v>3</v>
      </c>
      <c r="G201" s="9" t="s">
        <v>26</v>
      </c>
      <c r="H201" s="9">
        <v>999.09</v>
      </c>
      <c r="I201" s="9">
        <v>1271.99</v>
      </c>
      <c r="J201" s="9" t="s">
        <v>30</v>
      </c>
      <c r="K201" s="9">
        <v>0.15</v>
      </c>
      <c r="L201" s="9" t="s">
        <v>31</v>
      </c>
      <c r="M201" s="9" t="s">
        <v>19</v>
      </c>
      <c r="N201" s="9" t="s">
        <v>23</v>
      </c>
      <c r="O201" s="9"/>
    </row>
    <row r="202" spans="2:15" x14ac:dyDescent="0.25">
      <c r="B202" s="20">
        <v>45060</v>
      </c>
      <c r="C202" s="9" t="s">
        <v>24</v>
      </c>
      <c r="D202" s="9" t="s">
        <v>21</v>
      </c>
      <c r="E202" s="9">
        <v>2584.91</v>
      </c>
      <c r="F202" s="9">
        <v>40</v>
      </c>
      <c r="G202" s="9" t="s">
        <v>16</v>
      </c>
      <c r="H202" s="9">
        <v>2799.71</v>
      </c>
      <c r="I202" s="9">
        <v>3231.08</v>
      </c>
      <c r="J202" s="9" t="s">
        <v>17</v>
      </c>
      <c r="K202" s="9">
        <v>0.28999999999999998</v>
      </c>
      <c r="L202" s="9" t="s">
        <v>31</v>
      </c>
      <c r="M202" s="9" t="s">
        <v>22</v>
      </c>
      <c r="N202" s="9" t="s">
        <v>47</v>
      </c>
      <c r="O202" s="9"/>
    </row>
    <row r="203" spans="2:15" x14ac:dyDescent="0.25">
      <c r="B203" s="20">
        <v>45126</v>
      </c>
      <c r="C203" s="9" t="s">
        <v>33</v>
      </c>
      <c r="D203" s="9" t="s">
        <v>15</v>
      </c>
      <c r="E203" s="9">
        <v>5684.33</v>
      </c>
      <c r="F203" s="9">
        <v>10</v>
      </c>
      <c r="G203" s="9" t="s">
        <v>35</v>
      </c>
      <c r="H203" s="9">
        <v>2940.4</v>
      </c>
      <c r="I203" s="9">
        <v>3054.79</v>
      </c>
      <c r="J203" s="9" t="s">
        <v>17</v>
      </c>
      <c r="K203" s="9">
        <v>0.08</v>
      </c>
      <c r="L203" s="9" t="s">
        <v>31</v>
      </c>
      <c r="M203" s="9" t="s">
        <v>19</v>
      </c>
      <c r="N203" s="9" t="s">
        <v>53</v>
      </c>
      <c r="O203" s="9"/>
    </row>
    <row r="204" spans="2:15" x14ac:dyDescent="0.25">
      <c r="B204" s="20">
        <v>44949</v>
      </c>
      <c r="C204" s="9" t="s">
        <v>33</v>
      </c>
      <c r="D204" s="9" t="s">
        <v>34</v>
      </c>
      <c r="E204" s="9">
        <v>3649.93</v>
      </c>
      <c r="F204" s="9">
        <v>25</v>
      </c>
      <c r="G204" s="9" t="s">
        <v>26</v>
      </c>
      <c r="H204" s="9">
        <v>1074.6199999999999</v>
      </c>
      <c r="I204" s="9">
        <v>1382.4299999999901</v>
      </c>
      <c r="J204" s="9" t="s">
        <v>17</v>
      </c>
      <c r="K204" s="9">
        <v>0.24</v>
      </c>
      <c r="L204" s="9" t="s">
        <v>31</v>
      </c>
      <c r="M204" s="9" t="s">
        <v>22</v>
      </c>
      <c r="N204" s="9" t="s">
        <v>36</v>
      </c>
      <c r="O204" s="9"/>
    </row>
    <row r="205" spans="2:15" x14ac:dyDescent="0.25">
      <c r="B205" s="20">
        <v>45229</v>
      </c>
      <c r="C205" s="9" t="s">
        <v>38</v>
      </c>
      <c r="D205" s="9" t="s">
        <v>21</v>
      </c>
      <c r="E205" s="9">
        <v>6600.65</v>
      </c>
      <c r="F205" s="9">
        <v>49</v>
      </c>
      <c r="G205" s="9" t="s">
        <v>35</v>
      </c>
      <c r="H205" s="9">
        <v>4264.46</v>
      </c>
      <c r="I205" s="9">
        <v>4315.5200000000004</v>
      </c>
      <c r="J205" s="9" t="s">
        <v>30</v>
      </c>
      <c r="K205" s="9">
        <v>7.0000000000000007E-2</v>
      </c>
      <c r="L205" s="9" t="s">
        <v>18</v>
      </c>
      <c r="M205" s="9" t="s">
        <v>22</v>
      </c>
      <c r="N205" s="9" t="s">
        <v>41</v>
      </c>
      <c r="O205" s="9"/>
    </row>
    <row r="206" spans="2:15" x14ac:dyDescent="0.25">
      <c r="B206" s="20">
        <v>45272</v>
      </c>
      <c r="C206" s="9" t="s">
        <v>38</v>
      </c>
      <c r="D206" s="9" t="s">
        <v>15</v>
      </c>
      <c r="E206" s="9">
        <v>2479.9499999999998</v>
      </c>
      <c r="F206" s="9">
        <v>8</v>
      </c>
      <c r="G206" s="9" t="s">
        <v>29</v>
      </c>
      <c r="H206" s="9">
        <v>467.11</v>
      </c>
      <c r="I206" s="9">
        <v>792.21</v>
      </c>
      <c r="J206" s="9" t="s">
        <v>30</v>
      </c>
      <c r="K206" s="9">
        <v>0.2</v>
      </c>
      <c r="L206" s="9" t="s">
        <v>31</v>
      </c>
      <c r="M206" s="9" t="s">
        <v>19</v>
      </c>
      <c r="N206" s="9" t="s">
        <v>40</v>
      </c>
      <c r="O206" s="9"/>
    </row>
    <row r="207" spans="2:15" x14ac:dyDescent="0.25">
      <c r="B207" s="20">
        <v>45228</v>
      </c>
      <c r="C207" s="9" t="s">
        <v>33</v>
      </c>
      <c r="D207" s="9" t="s">
        <v>15</v>
      </c>
      <c r="E207" s="9">
        <v>1996.77</v>
      </c>
      <c r="F207" s="9">
        <v>11</v>
      </c>
      <c r="G207" s="9" t="s">
        <v>29</v>
      </c>
      <c r="H207" s="9">
        <v>1812.66</v>
      </c>
      <c r="I207" s="9">
        <v>2196.3000000000002</v>
      </c>
      <c r="J207" s="9" t="s">
        <v>30</v>
      </c>
      <c r="K207" s="9">
        <v>0.08</v>
      </c>
      <c r="L207" s="9" t="s">
        <v>18</v>
      </c>
      <c r="M207" s="9" t="s">
        <v>19</v>
      </c>
      <c r="N207" s="9" t="s">
        <v>53</v>
      </c>
      <c r="O207" s="9"/>
    </row>
    <row r="208" spans="2:15" x14ac:dyDescent="0.25">
      <c r="B208" s="20">
        <v>45289</v>
      </c>
      <c r="C208" s="9" t="s">
        <v>38</v>
      </c>
      <c r="D208" s="9" t="s">
        <v>15</v>
      </c>
      <c r="E208" s="9">
        <v>9190.57</v>
      </c>
      <c r="F208" s="9">
        <v>5</v>
      </c>
      <c r="G208" s="9" t="s">
        <v>16</v>
      </c>
      <c r="H208" s="9">
        <v>3417.9</v>
      </c>
      <c r="I208" s="9">
        <v>3714.52</v>
      </c>
      <c r="J208" s="9" t="s">
        <v>17</v>
      </c>
      <c r="K208" s="9">
        <v>0.27</v>
      </c>
      <c r="L208" s="9" t="s">
        <v>31</v>
      </c>
      <c r="M208" s="9" t="s">
        <v>22</v>
      </c>
      <c r="N208" s="9" t="s">
        <v>40</v>
      </c>
      <c r="O208" s="9"/>
    </row>
    <row r="209" spans="2:15" x14ac:dyDescent="0.25">
      <c r="B209" s="20">
        <v>45144</v>
      </c>
      <c r="C209" s="9" t="s">
        <v>24</v>
      </c>
      <c r="D209" s="9" t="s">
        <v>15</v>
      </c>
      <c r="E209" s="9">
        <v>1107.8599999999999</v>
      </c>
      <c r="F209" s="9">
        <v>45</v>
      </c>
      <c r="G209" s="9" t="s">
        <v>29</v>
      </c>
      <c r="H209" s="9">
        <v>1406.9</v>
      </c>
      <c r="I209" s="9">
        <v>1547.35</v>
      </c>
      <c r="J209" s="9" t="s">
        <v>30</v>
      </c>
      <c r="K209" s="9">
        <v>0.17</v>
      </c>
      <c r="L209" s="9" t="s">
        <v>18</v>
      </c>
      <c r="M209" s="9" t="s">
        <v>22</v>
      </c>
      <c r="N209" s="9" t="s">
        <v>45</v>
      </c>
      <c r="O209" s="9"/>
    </row>
    <row r="210" spans="2:15" x14ac:dyDescent="0.25">
      <c r="B210" s="20">
        <v>45067</v>
      </c>
      <c r="C210" s="9" t="s">
        <v>42</v>
      </c>
      <c r="D210" s="9" t="s">
        <v>15</v>
      </c>
      <c r="E210" s="9">
        <v>5108.9799999999996</v>
      </c>
      <c r="F210" s="9">
        <v>37</v>
      </c>
      <c r="G210" s="9" t="s">
        <v>35</v>
      </c>
      <c r="H210" s="9">
        <v>4146.99</v>
      </c>
      <c r="I210" s="9">
        <v>4172.3499999999904</v>
      </c>
      <c r="J210" s="9" t="s">
        <v>17</v>
      </c>
      <c r="K210" s="9">
        <v>0.06</v>
      </c>
      <c r="L210" s="9" t="s">
        <v>18</v>
      </c>
      <c r="M210" s="9" t="s">
        <v>22</v>
      </c>
      <c r="N210" s="9" t="s">
        <v>49</v>
      </c>
      <c r="O210" s="9"/>
    </row>
    <row r="211" spans="2:15" x14ac:dyDescent="0.25">
      <c r="B211" s="20">
        <v>45030</v>
      </c>
      <c r="C211" s="9" t="s">
        <v>24</v>
      </c>
      <c r="D211" s="9" t="s">
        <v>15</v>
      </c>
      <c r="E211" s="9">
        <v>2286.44</v>
      </c>
      <c r="F211" s="9">
        <v>45</v>
      </c>
      <c r="G211" s="9" t="s">
        <v>29</v>
      </c>
      <c r="H211" s="9">
        <v>3712.35</v>
      </c>
      <c r="I211" s="9">
        <v>3780.88</v>
      </c>
      <c r="J211" s="9" t="s">
        <v>30</v>
      </c>
      <c r="K211" s="9">
        <v>7.0000000000000007E-2</v>
      </c>
      <c r="L211" s="9" t="s">
        <v>18</v>
      </c>
      <c r="M211" s="9" t="s">
        <v>22</v>
      </c>
      <c r="N211" s="9" t="s">
        <v>45</v>
      </c>
      <c r="O211" s="9"/>
    </row>
    <row r="212" spans="2:15" x14ac:dyDescent="0.25">
      <c r="B212" s="20">
        <v>45136</v>
      </c>
      <c r="C212" s="9" t="s">
        <v>33</v>
      </c>
      <c r="D212" s="9" t="s">
        <v>21</v>
      </c>
      <c r="E212" s="9">
        <v>485.41</v>
      </c>
      <c r="F212" s="9">
        <v>38</v>
      </c>
      <c r="G212" s="9" t="s">
        <v>35</v>
      </c>
      <c r="H212" s="9">
        <v>3955.66</v>
      </c>
      <c r="I212" s="9">
        <v>4270.59</v>
      </c>
      <c r="J212" s="9" t="s">
        <v>17</v>
      </c>
      <c r="K212" s="9">
        <v>0.15</v>
      </c>
      <c r="L212" s="9" t="s">
        <v>31</v>
      </c>
      <c r="M212" s="9" t="s">
        <v>19</v>
      </c>
      <c r="N212" s="9" t="s">
        <v>37</v>
      </c>
      <c r="O212" s="9"/>
    </row>
    <row r="213" spans="2:15" x14ac:dyDescent="0.25">
      <c r="B213" s="20">
        <v>45037</v>
      </c>
      <c r="C213" s="9" t="s">
        <v>33</v>
      </c>
      <c r="D213" s="9" t="s">
        <v>34</v>
      </c>
      <c r="E213" s="9">
        <v>456.59</v>
      </c>
      <c r="F213" s="9">
        <v>29</v>
      </c>
      <c r="G213" s="9" t="s">
        <v>16</v>
      </c>
      <c r="H213" s="9">
        <v>639.58000000000004</v>
      </c>
      <c r="I213" s="9">
        <v>1107.45</v>
      </c>
      <c r="J213" s="9" t="s">
        <v>30</v>
      </c>
      <c r="K213" s="9">
        <v>0.28999999999999998</v>
      </c>
      <c r="L213" s="9" t="s">
        <v>18</v>
      </c>
      <c r="M213" s="9" t="s">
        <v>22</v>
      </c>
      <c r="N213" s="9" t="s">
        <v>36</v>
      </c>
      <c r="O213" s="9"/>
    </row>
    <row r="214" spans="2:15" x14ac:dyDescent="0.25">
      <c r="B214" s="20">
        <v>45030</v>
      </c>
      <c r="C214" s="9" t="s">
        <v>24</v>
      </c>
      <c r="D214" s="9" t="s">
        <v>15</v>
      </c>
      <c r="E214" s="9">
        <v>1834.7</v>
      </c>
      <c r="F214" s="9">
        <v>5</v>
      </c>
      <c r="G214" s="9" t="s">
        <v>16</v>
      </c>
      <c r="H214" s="9">
        <v>745.71</v>
      </c>
      <c r="I214" s="9">
        <v>856.91</v>
      </c>
      <c r="J214" s="9" t="s">
        <v>17</v>
      </c>
      <c r="K214" s="9">
        <v>0.23</v>
      </c>
      <c r="L214" s="9" t="s">
        <v>27</v>
      </c>
      <c r="M214" s="9" t="s">
        <v>22</v>
      </c>
      <c r="N214" s="9" t="s">
        <v>45</v>
      </c>
      <c r="O214" s="9"/>
    </row>
    <row r="215" spans="2:15" x14ac:dyDescent="0.25">
      <c r="B215" s="20">
        <v>45242</v>
      </c>
      <c r="C215" s="9" t="s">
        <v>38</v>
      </c>
      <c r="D215" s="9" t="s">
        <v>25</v>
      </c>
      <c r="E215" s="9">
        <v>8681.0300000000007</v>
      </c>
      <c r="F215" s="9">
        <v>9</v>
      </c>
      <c r="G215" s="9" t="s">
        <v>35</v>
      </c>
      <c r="H215" s="9">
        <v>1468.05</v>
      </c>
      <c r="I215" s="9">
        <v>1838.21</v>
      </c>
      <c r="J215" s="9" t="s">
        <v>30</v>
      </c>
      <c r="K215" s="9">
        <v>0.15</v>
      </c>
      <c r="L215" s="9" t="s">
        <v>27</v>
      </c>
      <c r="M215" s="9" t="s">
        <v>22</v>
      </c>
      <c r="N215" s="9" t="s">
        <v>39</v>
      </c>
      <c r="O215" s="9"/>
    </row>
    <row r="216" spans="2:15" x14ac:dyDescent="0.25">
      <c r="B216" s="20">
        <v>45097</v>
      </c>
      <c r="C216" s="9" t="s">
        <v>38</v>
      </c>
      <c r="D216" s="9" t="s">
        <v>21</v>
      </c>
      <c r="E216" s="9">
        <v>2896.54</v>
      </c>
      <c r="F216" s="9">
        <v>48</v>
      </c>
      <c r="G216" s="9" t="s">
        <v>29</v>
      </c>
      <c r="H216" s="9">
        <v>2614.48</v>
      </c>
      <c r="I216" s="9">
        <v>3049.04</v>
      </c>
      <c r="J216" s="9" t="s">
        <v>30</v>
      </c>
      <c r="K216" s="9">
        <v>0.1</v>
      </c>
      <c r="L216" s="9" t="s">
        <v>31</v>
      </c>
      <c r="M216" s="9" t="s">
        <v>22</v>
      </c>
      <c r="N216" s="9" t="s">
        <v>41</v>
      </c>
      <c r="O216" s="9"/>
    </row>
    <row r="217" spans="2:15" x14ac:dyDescent="0.25">
      <c r="B217" s="20">
        <v>45282</v>
      </c>
      <c r="C217" s="9" t="s">
        <v>33</v>
      </c>
      <c r="D217" s="9" t="s">
        <v>21</v>
      </c>
      <c r="E217" s="9">
        <v>9509.5499999999993</v>
      </c>
      <c r="F217" s="9">
        <v>2</v>
      </c>
      <c r="G217" s="9" t="s">
        <v>16</v>
      </c>
      <c r="H217" s="9">
        <v>3752.68</v>
      </c>
      <c r="I217" s="9">
        <v>4017.91</v>
      </c>
      <c r="J217" s="9" t="s">
        <v>17</v>
      </c>
      <c r="K217" s="9">
        <v>0.16</v>
      </c>
      <c r="L217" s="9" t="s">
        <v>27</v>
      </c>
      <c r="M217" s="9" t="s">
        <v>19</v>
      </c>
      <c r="N217" s="9" t="s">
        <v>37</v>
      </c>
      <c r="O217" s="9"/>
    </row>
    <row r="218" spans="2:15" x14ac:dyDescent="0.25">
      <c r="B218" s="20">
        <v>45250</v>
      </c>
      <c r="C218" s="9" t="s">
        <v>14</v>
      </c>
      <c r="D218" s="9" t="s">
        <v>15</v>
      </c>
      <c r="E218" s="9">
        <v>5858.06</v>
      </c>
      <c r="F218" s="9">
        <v>1</v>
      </c>
      <c r="G218" s="9" t="s">
        <v>26</v>
      </c>
      <c r="H218" s="9">
        <v>4190.83</v>
      </c>
      <c r="I218" s="9">
        <v>4528.7699999999904</v>
      </c>
      <c r="J218" s="9" t="s">
        <v>17</v>
      </c>
      <c r="K218" s="9">
        <v>0.22</v>
      </c>
      <c r="L218" s="9" t="s">
        <v>27</v>
      </c>
      <c r="M218" s="9" t="s">
        <v>19</v>
      </c>
      <c r="N218" s="9" t="s">
        <v>20</v>
      </c>
      <c r="O218" s="9"/>
    </row>
    <row r="219" spans="2:15" x14ac:dyDescent="0.25">
      <c r="B219" s="20">
        <v>45059</v>
      </c>
      <c r="C219" s="9" t="s">
        <v>38</v>
      </c>
      <c r="D219" s="9" t="s">
        <v>21</v>
      </c>
      <c r="E219" s="9">
        <v>4422.4799999999996</v>
      </c>
      <c r="F219" s="9">
        <v>40</v>
      </c>
      <c r="G219" s="9" t="s">
        <v>16</v>
      </c>
      <c r="H219" s="9">
        <v>3536.46</v>
      </c>
      <c r="I219" s="9">
        <v>3945.82</v>
      </c>
      <c r="J219" s="9" t="s">
        <v>30</v>
      </c>
      <c r="K219" s="9">
        <v>0.24</v>
      </c>
      <c r="L219" s="9" t="s">
        <v>27</v>
      </c>
      <c r="M219" s="9" t="s">
        <v>19</v>
      </c>
      <c r="N219" s="9" t="s">
        <v>41</v>
      </c>
      <c r="O219" s="9"/>
    </row>
    <row r="220" spans="2:15" x14ac:dyDescent="0.25">
      <c r="B220" s="20">
        <v>45219</v>
      </c>
      <c r="C220" s="9" t="s">
        <v>24</v>
      </c>
      <c r="D220" s="9" t="s">
        <v>15</v>
      </c>
      <c r="E220" s="9">
        <v>5842.88</v>
      </c>
      <c r="F220" s="9">
        <v>30</v>
      </c>
      <c r="G220" s="9" t="s">
        <v>29</v>
      </c>
      <c r="H220" s="9">
        <v>4646.55</v>
      </c>
      <c r="I220" s="9">
        <v>4784.28</v>
      </c>
      <c r="J220" s="9" t="s">
        <v>17</v>
      </c>
      <c r="K220" s="9">
        <v>0.1</v>
      </c>
      <c r="L220" s="9" t="s">
        <v>31</v>
      </c>
      <c r="M220" s="9" t="s">
        <v>22</v>
      </c>
      <c r="N220" s="9" t="s">
        <v>45</v>
      </c>
      <c r="O220" s="9"/>
    </row>
    <row r="221" spans="2:15" x14ac:dyDescent="0.25">
      <c r="B221" s="20">
        <v>45254</v>
      </c>
      <c r="C221" s="9" t="s">
        <v>38</v>
      </c>
      <c r="D221" s="9" t="s">
        <v>34</v>
      </c>
      <c r="E221" s="9">
        <v>5215.3100000000004</v>
      </c>
      <c r="F221" s="9">
        <v>11</v>
      </c>
      <c r="G221" s="9" t="s">
        <v>26</v>
      </c>
      <c r="H221" s="9">
        <v>3706.78</v>
      </c>
      <c r="I221" s="9">
        <v>3862.26</v>
      </c>
      <c r="J221" s="9" t="s">
        <v>30</v>
      </c>
      <c r="K221" s="9">
        <v>0.22</v>
      </c>
      <c r="L221" s="9" t="s">
        <v>31</v>
      </c>
      <c r="M221" s="9" t="s">
        <v>22</v>
      </c>
      <c r="N221" s="9" t="s">
        <v>48</v>
      </c>
      <c r="O221" s="9"/>
    </row>
    <row r="222" spans="2:15" x14ac:dyDescent="0.25">
      <c r="B222" s="20">
        <v>45053</v>
      </c>
      <c r="C222" s="9" t="s">
        <v>24</v>
      </c>
      <c r="D222" s="9" t="s">
        <v>34</v>
      </c>
      <c r="E222" s="9">
        <v>7611.88</v>
      </c>
      <c r="F222" s="9">
        <v>28</v>
      </c>
      <c r="G222" s="9" t="s">
        <v>29</v>
      </c>
      <c r="H222" s="9">
        <v>1566.03</v>
      </c>
      <c r="I222" s="9">
        <v>1576.34</v>
      </c>
      <c r="J222" s="9" t="s">
        <v>17</v>
      </c>
      <c r="K222" s="9">
        <v>0.2</v>
      </c>
      <c r="L222" s="9" t="s">
        <v>27</v>
      </c>
      <c r="M222" s="9" t="s">
        <v>19</v>
      </c>
      <c r="N222" s="9" t="s">
        <v>50</v>
      </c>
      <c r="O222" s="9"/>
    </row>
    <row r="223" spans="2:15" x14ac:dyDescent="0.25">
      <c r="B223" s="20">
        <v>45032</v>
      </c>
      <c r="C223" s="9" t="s">
        <v>33</v>
      </c>
      <c r="D223" s="9" t="s">
        <v>21</v>
      </c>
      <c r="E223" s="9">
        <v>2896.71</v>
      </c>
      <c r="F223" s="9">
        <v>44</v>
      </c>
      <c r="G223" s="9" t="s">
        <v>35</v>
      </c>
      <c r="H223" s="9">
        <v>1362.15</v>
      </c>
      <c r="I223" s="9">
        <v>1844.07</v>
      </c>
      <c r="J223" s="9" t="s">
        <v>30</v>
      </c>
      <c r="K223" s="9">
        <v>0.28999999999999998</v>
      </c>
      <c r="L223" s="9" t="s">
        <v>31</v>
      </c>
      <c r="M223" s="9" t="s">
        <v>19</v>
      </c>
      <c r="N223" s="9" t="s">
        <v>37</v>
      </c>
      <c r="O223" s="9"/>
    </row>
    <row r="224" spans="2:15" x14ac:dyDescent="0.25">
      <c r="B224" s="20">
        <v>45018</v>
      </c>
      <c r="C224" s="9" t="s">
        <v>38</v>
      </c>
      <c r="D224" s="9" t="s">
        <v>21</v>
      </c>
      <c r="E224" s="9">
        <v>3595.2</v>
      </c>
      <c r="F224" s="9">
        <v>12</v>
      </c>
      <c r="G224" s="9" t="s">
        <v>26</v>
      </c>
      <c r="H224" s="9">
        <v>3496.15</v>
      </c>
      <c r="I224" s="9">
        <v>3955.75</v>
      </c>
      <c r="J224" s="9" t="s">
        <v>17</v>
      </c>
      <c r="K224" s="9">
        <v>0.28000000000000003</v>
      </c>
      <c r="L224" s="9" t="s">
        <v>18</v>
      </c>
      <c r="M224" s="9" t="s">
        <v>22</v>
      </c>
      <c r="N224" s="9" t="s">
        <v>41</v>
      </c>
      <c r="O224" s="9"/>
    </row>
    <row r="225" spans="2:15" x14ac:dyDescent="0.25">
      <c r="B225" s="20">
        <v>45213</v>
      </c>
      <c r="C225" s="9" t="s">
        <v>24</v>
      </c>
      <c r="D225" s="9" t="s">
        <v>25</v>
      </c>
      <c r="E225" s="9">
        <v>8951.5300000000007</v>
      </c>
      <c r="F225" s="9">
        <v>39</v>
      </c>
      <c r="G225" s="9" t="s">
        <v>29</v>
      </c>
      <c r="H225" s="9">
        <v>1004.71</v>
      </c>
      <c r="I225" s="9">
        <v>1389.35</v>
      </c>
      <c r="J225" s="9" t="s">
        <v>30</v>
      </c>
      <c r="K225" s="9">
        <v>0.24</v>
      </c>
      <c r="L225" s="9" t="s">
        <v>27</v>
      </c>
      <c r="M225" s="9" t="s">
        <v>19</v>
      </c>
      <c r="N225" s="9" t="s">
        <v>28</v>
      </c>
      <c r="O225" s="9"/>
    </row>
    <row r="226" spans="2:15" x14ac:dyDescent="0.25">
      <c r="B226" s="20">
        <v>44977</v>
      </c>
      <c r="C226" s="9" t="s">
        <v>33</v>
      </c>
      <c r="D226" s="9" t="s">
        <v>21</v>
      </c>
      <c r="E226" s="9">
        <v>9469.92</v>
      </c>
      <c r="F226" s="9">
        <v>26</v>
      </c>
      <c r="G226" s="9" t="s">
        <v>26</v>
      </c>
      <c r="H226" s="9">
        <v>508.94</v>
      </c>
      <c r="I226" s="9">
        <v>557.69000000000005</v>
      </c>
      <c r="J226" s="9" t="s">
        <v>30</v>
      </c>
      <c r="K226" s="9">
        <v>0.22</v>
      </c>
      <c r="L226" s="9" t="s">
        <v>31</v>
      </c>
      <c r="M226" s="9" t="s">
        <v>22</v>
      </c>
      <c r="N226" s="9" t="s">
        <v>37</v>
      </c>
      <c r="O226" s="9"/>
    </row>
    <row r="227" spans="2:15" x14ac:dyDescent="0.25">
      <c r="B227" s="20">
        <v>44955</v>
      </c>
      <c r="C227" s="9" t="s">
        <v>14</v>
      </c>
      <c r="D227" s="9" t="s">
        <v>25</v>
      </c>
      <c r="E227" s="9">
        <v>8936.33</v>
      </c>
      <c r="F227" s="9">
        <v>13</v>
      </c>
      <c r="G227" s="9" t="s">
        <v>29</v>
      </c>
      <c r="H227" s="9">
        <v>2684.5</v>
      </c>
      <c r="I227" s="9">
        <v>2913.78</v>
      </c>
      <c r="J227" s="9" t="s">
        <v>30</v>
      </c>
      <c r="K227" s="9">
        <v>0.08</v>
      </c>
      <c r="L227" s="9" t="s">
        <v>31</v>
      </c>
      <c r="M227" s="9" t="s">
        <v>22</v>
      </c>
      <c r="N227" s="9" t="s">
        <v>32</v>
      </c>
      <c r="O227" s="9"/>
    </row>
    <row r="228" spans="2:15" x14ac:dyDescent="0.25">
      <c r="B228" s="20">
        <v>45222</v>
      </c>
      <c r="C228" s="9" t="s">
        <v>24</v>
      </c>
      <c r="D228" s="9" t="s">
        <v>34</v>
      </c>
      <c r="E228" s="9">
        <v>4252.54</v>
      </c>
      <c r="F228" s="9">
        <v>8</v>
      </c>
      <c r="G228" s="9" t="s">
        <v>26</v>
      </c>
      <c r="H228" s="9">
        <v>4117.13</v>
      </c>
      <c r="I228" s="9">
        <v>4177.0600000000004</v>
      </c>
      <c r="J228" s="9" t="s">
        <v>17</v>
      </c>
      <c r="K228" s="9">
        <v>0.25</v>
      </c>
      <c r="L228" s="9" t="s">
        <v>27</v>
      </c>
      <c r="M228" s="9" t="s">
        <v>22</v>
      </c>
      <c r="N228" s="9" t="s">
        <v>50</v>
      </c>
      <c r="O228" s="9"/>
    </row>
    <row r="229" spans="2:15" x14ac:dyDescent="0.25">
      <c r="B229" s="20">
        <v>45223</v>
      </c>
      <c r="C229" s="9" t="s">
        <v>14</v>
      </c>
      <c r="D229" s="9" t="s">
        <v>34</v>
      </c>
      <c r="E229" s="9">
        <v>7825.62</v>
      </c>
      <c r="F229" s="9">
        <v>28</v>
      </c>
      <c r="G229" s="9" t="s">
        <v>29</v>
      </c>
      <c r="H229" s="9">
        <v>551.83000000000004</v>
      </c>
      <c r="I229" s="9">
        <v>569.63</v>
      </c>
      <c r="J229" s="9" t="s">
        <v>30</v>
      </c>
      <c r="K229" s="9">
        <v>0.13</v>
      </c>
      <c r="L229" s="9" t="s">
        <v>31</v>
      </c>
      <c r="M229" s="9" t="s">
        <v>22</v>
      </c>
      <c r="N229" s="9" t="s">
        <v>46</v>
      </c>
      <c r="O229" s="9"/>
    </row>
    <row r="230" spans="2:15" x14ac:dyDescent="0.25">
      <c r="B230" s="20">
        <v>45140</v>
      </c>
      <c r="C230" s="9" t="s">
        <v>14</v>
      </c>
      <c r="D230" s="9" t="s">
        <v>15</v>
      </c>
      <c r="E230" s="9">
        <v>4815.72</v>
      </c>
      <c r="F230" s="9">
        <v>30</v>
      </c>
      <c r="G230" s="9" t="s">
        <v>35</v>
      </c>
      <c r="H230" s="9">
        <v>3969.86</v>
      </c>
      <c r="I230" s="9">
        <v>4281.79</v>
      </c>
      <c r="J230" s="9" t="s">
        <v>17</v>
      </c>
      <c r="K230" s="9">
        <v>0.08</v>
      </c>
      <c r="L230" s="9" t="s">
        <v>27</v>
      </c>
      <c r="M230" s="9" t="s">
        <v>22</v>
      </c>
      <c r="N230" s="9" t="s">
        <v>20</v>
      </c>
      <c r="O230" s="9"/>
    </row>
    <row r="231" spans="2:15" x14ac:dyDescent="0.25">
      <c r="B231" s="20">
        <v>45193</v>
      </c>
      <c r="C231" s="9" t="s">
        <v>42</v>
      </c>
      <c r="D231" s="9" t="s">
        <v>34</v>
      </c>
      <c r="E231" s="9">
        <v>5025.6400000000003</v>
      </c>
      <c r="F231" s="9">
        <v>9</v>
      </c>
      <c r="G231" s="9" t="s">
        <v>26</v>
      </c>
      <c r="H231" s="9">
        <v>4067.28</v>
      </c>
      <c r="I231" s="9">
        <v>4548.09</v>
      </c>
      <c r="J231" s="9" t="s">
        <v>17</v>
      </c>
      <c r="K231" s="9">
        <v>0.12</v>
      </c>
      <c r="L231" s="9" t="s">
        <v>31</v>
      </c>
      <c r="M231" s="9" t="s">
        <v>22</v>
      </c>
      <c r="N231" s="9" t="s">
        <v>52</v>
      </c>
      <c r="O231" s="9"/>
    </row>
    <row r="232" spans="2:15" x14ac:dyDescent="0.25">
      <c r="B232" s="20">
        <v>45183</v>
      </c>
      <c r="C232" s="9" t="s">
        <v>38</v>
      </c>
      <c r="D232" s="9" t="s">
        <v>25</v>
      </c>
      <c r="E232" s="9">
        <v>2126.33</v>
      </c>
      <c r="F232" s="9">
        <v>39</v>
      </c>
      <c r="G232" s="9" t="s">
        <v>26</v>
      </c>
      <c r="H232" s="9">
        <v>2437.2600000000002</v>
      </c>
      <c r="I232" s="9">
        <v>2889.67</v>
      </c>
      <c r="J232" s="9" t="s">
        <v>17</v>
      </c>
      <c r="K232" s="9">
        <v>0.25</v>
      </c>
      <c r="L232" s="9" t="s">
        <v>18</v>
      </c>
      <c r="M232" s="9" t="s">
        <v>19</v>
      </c>
      <c r="N232" s="9" t="s">
        <v>39</v>
      </c>
      <c r="O232" s="9"/>
    </row>
    <row r="233" spans="2:15" x14ac:dyDescent="0.25">
      <c r="B233" s="20">
        <v>45228</v>
      </c>
      <c r="C233" s="9" t="s">
        <v>24</v>
      </c>
      <c r="D233" s="9" t="s">
        <v>21</v>
      </c>
      <c r="E233" s="9">
        <v>5952.19</v>
      </c>
      <c r="F233" s="9">
        <v>31</v>
      </c>
      <c r="G233" s="9" t="s">
        <v>26</v>
      </c>
      <c r="H233" s="9">
        <v>333.69</v>
      </c>
      <c r="I233" s="9">
        <v>685.1</v>
      </c>
      <c r="J233" s="9" t="s">
        <v>30</v>
      </c>
      <c r="K233" s="9">
        <v>0.04</v>
      </c>
      <c r="L233" s="9" t="s">
        <v>27</v>
      </c>
      <c r="M233" s="9" t="s">
        <v>19</v>
      </c>
      <c r="N233" s="9" t="s">
        <v>47</v>
      </c>
      <c r="O233" s="9"/>
    </row>
    <row r="234" spans="2:15" x14ac:dyDescent="0.25">
      <c r="B234" s="20">
        <v>45027</v>
      </c>
      <c r="C234" s="9" t="s">
        <v>14</v>
      </c>
      <c r="D234" s="9" t="s">
        <v>15</v>
      </c>
      <c r="E234" s="9">
        <v>1942.75</v>
      </c>
      <c r="F234" s="9">
        <v>21</v>
      </c>
      <c r="G234" s="9" t="s">
        <v>26</v>
      </c>
      <c r="H234" s="9">
        <v>914.22</v>
      </c>
      <c r="I234" s="9">
        <v>971.57</v>
      </c>
      <c r="J234" s="9" t="s">
        <v>17</v>
      </c>
      <c r="K234" s="9">
        <v>0.14000000000000001</v>
      </c>
      <c r="L234" s="9" t="s">
        <v>18</v>
      </c>
      <c r="M234" s="9" t="s">
        <v>19</v>
      </c>
      <c r="N234" s="9" t="s">
        <v>20</v>
      </c>
      <c r="O234" s="9"/>
    </row>
    <row r="235" spans="2:15" x14ac:dyDescent="0.25">
      <c r="B235" s="20">
        <v>45272</v>
      </c>
      <c r="C235" s="9" t="s">
        <v>42</v>
      </c>
      <c r="D235" s="9" t="s">
        <v>25</v>
      </c>
      <c r="E235" s="9">
        <v>3382.49</v>
      </c>
      <c r="F235" s="9">
        <v>47</v>
      </c>
      <c r="G235" s="9" t="s">
        <v>35</v>
      </c>
      <c r="H235" s="9">
        <v>3551.76</v>
      </c>
      <c r="I235" s="9">
        <v>3696.1</v>
      </c>
      <c r="J235" s="9" t="s">
        <v>17</v>
      </c>
      <c r="K235" s="9">
        <v>0.15</v>
      </c>
      <c r="L235" s="9" t="s">
        <v>27</v>
      </c>
      <c r="M235" s="9" t="s">
        <v>22</v>
      </c>
      <c r="N235" s="9" t="s">
        <v>43</v>
      </c>
      <c r="O235" s="9"/>
    </row>
    <row r="236" spans="2:15" x14ac:dyDescent="0.25">
      <c r="B236" s="20">
        <v>45036</v>
      </c>
      <c r="C236" s="9" t="s">
        <v>33</v>
      </c>
      <c r="D236" s="9" t="s">
        <v>21</v>
      </c>
      <c r="E236" s="9">
        <v>8564.7999999999993</v>
      </c>
      <c r="F236" s="9">
        <v>34</v>
      </c>
      <c r="G236" s="9" t="s">
        <v>26</v>
      </c>
      <c r="H236" s="9">
        <v>3573.3</v>
      </c>
      <c r="I236" s="9">
        <v>3740.13</v>
      </c>
      <c r="J236" s="9" t="s">
        <v>17</v>
      </c>
      <c r="K236" s="9">
        <v>0.01</v>
      </c>
      <c r="L236" s="9" t="s">
        <v>31</v>
      </c>
      <c r="M236" s="9" t="s">
        <v>19</v>
      </c>
      <c r="N236" s="9" t="s">
        <v>37</v>
      </c>
      <c r="O236" s="9"/>
    </row>
    <row r="237" spans="2:15" x14ac:dyDescent="0.25">
      <c r="B237" s="20">
        <v>45108</v>
      </c>
      <c r="C237" s="9" t="s">
        <v>24</v>
      </c>
      <c r="D237" s="9" t="s">
        <v>15</v>
      </c>
      <c r="E237" s="9">
        <v>2150.0500000000002</v>
      </c>
      <c r="F237" s="9">
        <v>31</v>
      </c>
      <c r="G237" s="9" t="s">
        <v>16</v>
      </c>
      <c r="H237" s="9">
        <v>4496.8599999999997</v>
      </c>
      <c r="I237" s="9">
        <v>4880.7999999999902</v>
      </c>
      <c r="J237" s="9" t="s">
        <v>30</v>
      </c>
      <c r="K237" s="9">
        <v>0.06</v>
      </c>
      <c r="L237" s="9" t="s">
        <v>18</v>
      </c>
      <c r="M237" s="9" t="s">
        <v>22</v>
      </c>
      <c r="N237" s="9" t="s">
        <v>45</v>
      </c>
      <c r="O237" s="9"/>
    </row>
    <row r="238" spans="2:15" x14ac:dyDescent="0.25">
      <c r="B238" s="20">
        <v>45239</v>
      </c>
      <c r="C238" s="9" t="s">
        <v>14</v>
      </c>
      <c r="D238" s="9" t="s">
        <v>34</v>
      </c>
      <c r="E238" s="9">
        <v>804.47</v>
      </c>
      <c r="F238" s="9">
        <v>25</v>
      </c>
      <c r="G238" s="9" t="s">
        <v>35</v>
      </c>
      <c r="H238" s="9">
        <v>2934.3</v>
      </c>
      <c r="I238" s="9">
        <v>3337.4</v>
      </c>
      <c r="J238" s="9" t="s">
        <v>17</v>
      </c>
      <c r="K238" s="9">
        <v>0.25</v>
      </c>
      <c r="L238" s="9" t="s">
        <v>31</v>
      </c>
      <c r="M238" s="9" t="s">
        <v>22</v>
      </c>
      <c r="N238" s="9" t="s">
        <v>46</v>
      </c>
      <c r="O238" s="9"/>
    </row>
    <row r="239" spans="2:15" x14ac:dyDescent="0.25">
      <c r="B239" s="20">
        <v>44927</v>
      </c>
      <c r="C239" s="9" t="s">
        <v>38</v>
      </c>
      <c r="D239" s="9" t="s">
        <v>25</v>
      </c>
      <c r="E239" s="9">
        <v>783.18</v>
      </c>
      <c r="F239" s="9">
        <v>12</v>
      </c>
      <c r="G239" s="9" t="s">
        <v>16</v>
      </c>
      <c r="H239" s="9">
        <v>664.33</v>
      </c>
      <c r="I239" s="9">
        <v>863.03</v>
      </c>
      <c r="J239" s="9" t="s">
        <v>17</v>
      </c>
      <c r="K239" s="9">
        <v>0.25</v>
      </c>
      <c r="L239" s="9" t="s">
        <v>27</v>
      </c>
      <c r="M239" s="9" t="s">
        <v>22</v>
      </c>
      <c r="N239" s="9" t="s">
        <v>39</v>
      </c>
      <c r="O239" s="9"/>
    </row>
    <row r="240" spans="2:15" x14ac:dyDescent="0.25">
      <c r="B240" s="20">
        <v>45245</v>
      </c>
      <c r="C240" s="9" t="s">
        <v>42</v>
      </c>
      <c r="D240" s="9" t="s">
        <v>21</v>
      </c>
      <c r="E240" s="9">
        <v>9413.77</v>
      </c>
      <c r="F240" s="9">
        <v>1</v>
      </c>
      <c r="G240" s="9" t="s">
        <v>26</v>
      </c>
      <c r="H240" s="9">
        <v>651</v>
      </c>
      <c r="I240" s="9">
        <v>865.76</v>
      </c>
      <c r="J240" s="9" t="s">
        <v>17</v>
      </c>
      <c r="K240" s="9">
        <v>0.09</v>
      </c>
      <c r="L240" s="9" t="s">
        <v>27</v>
      </c>
      <c r="M240" s="9" t="s">
        <v>22</v>
      </c>
      <c r="N240" s="9" t="s">
        <v>51</v>
      </c>
      <c r="O240" s="9"/>
    </row>
    <row r="241" spans="2:15" x14ac:dyDescent="0.25">
      <c r="B241" s="20">
        <v>44981</v>
      </c>
      <c r="C241" s="9" t="s">
        <v>14</v>
      </c>
      <c r="D241" s="9" t="s">
        <v>15</v>
      </c>
      <c r="E241" s="9">
        <v>5118.51</v>
      </c>
      <c r="F241" s="9">
        <v>22</v>
      </c>
      <c r="G241" s="9" t="s">
        <v>29</v>
      </c>
      <c r="H241" s="9">
        <v>3619.61</v>
      </c>
      <c r="I241" s="9">
        <v>3651.42</v>
      </c>
      <c r="J241" s="9" t="s">
        <v>17</v>
      </c>
      <c r="K241" s="9">
        <v>0.26</v>
      </c>
      <c r="L241" s="9" t="s">
        <v>27</v>
      </c>
      <c r="M241" s="9" t="s">
        <v>19</v>
      </c>
      <c r="N241" s="9" t="s">
        <v>20</v>
      </c>
      <c r="O241" s="9"/>
    </row>
    <row r="242" spans="2:15" x14ac:dyDescent="0.25">
      <c r="B242" s="20">
        <v>45075</v>
      </c>
      <c r="C242" s="9" t="s">
        <v>38</v>
      </c>
      <c r="D242" s="9" t="s">
        <v>15</v>
      </c>
      <c r="E242" s="9">
        <v>4153.18</v>
      </c>
      <c r="F242" s="9">
        <v>40</v>
      </c>
      <c r="G242" s="9" t="s">
        <v>16</v>
      </c>
      <c r="H242" s="9">
        <v>959.73</v>
      </c>
      <c r="I242" s="9">
        <v>1111.4100000000001</v>
      </c>
      <c r="J242" s="9" t="s">
        <v>30</v>
      </c>
      <c r="K242" s="9">
        <v>0.23</v>
      </c>
      <c r="L242" s="9" t="s">
        <v>27</v>
      </c>
      <c r="M242" s="9" t="s">
        <v>19</v>
      </c>
      <c r="N242" s="9" t="s">
        <v>40</v>
      </c>
      <c r="O242" s="9"/>
    </row>
    <row r="243" spans="2:15" x14ac:dyDescent="0.25">
      <c r="B243" s="20">
        <v>45235</v>
      </c>
      <c r="C243" s="9" t="s">
        <v>14</v>
      </c>
      <c r="D243" s="9" t="s">
        <v>34</v>
      </c>
      <c r="E243" s="9">
        <v>8127.7</v>
      </c>
      <c r="F243" s="9">
        <v>37</v>
      </c>
      <c r="G243" s="9" t="s">
        <v>26</v>
      </c>
      <c r="H243" s="9">
        <v>1675.51</v>
      </c>
      <c r="I243" s="9">
        <v>1906.6399999999901</v>
      </c>
      <c r="J243" s="9" t="s">
        <v>30</v>
      </c>
      <c r="K243" s="9">
        <v>0.13</v>
      </c>
      <c r="L243" s="9" t="s">
        <v>27</v>
      </c>
      <c r="M243" s="9" t="s">
        <v>19</v>
      </c>
      <c r="N243" s="9" t="s">
        <v>46</v>
      </c>
      <c r="O243" s="9"/>
    </row>
    <row r="244" spans="2:15" x14ac:dyDescent="0.25">
      <c r="B244" s="20">
        <v>45063</v>
      </c>
      <c r="C244" s="9" t="s">
        <v>24</v>
      </c>
      <c r="D244" s="9" t="s">
        <v>21</v>
      </c>
      <c r="E244" s="9">
        <v>8374.68</v>
      </c>
      <c r="F244" s="9">
        <v>47</v>
      </c>
      <c r="G244" s="9" t="s">
        <v>16</v>
      </c>
      <c r="H244" s="9">
        <v>2461.6999999999998</v>
      </c>
      <c r="I244" s="9">
        <v>2529.02</v>
      </c>
      <c r="J244" s="9" t="s">
        <v>17</v>
      </c>
      <c r="K244" s="9">
        <v>0.22</v>
      </c>
      <c r="L244" s="9" t="s">
        <v>18</v>
      </c>
      <c r="M244" s="9" t="s">
        <v>22</v>
      </c>
      <c r="N244" s="9" t="s">
        <v>47</v>
      </c>
      <c r="O244" s="9"/>
    </row>
    <row r="245" spans="2:15" x14ac:dyDescent="0.25">
      <c r="B245" s="20">
        <v>45128</v>
      </c>
      <c r="C245" s="9" t="s">
        <v>24</v>
      </c>
      <c r="D245" s="9" t="s">
        <v>34</v>
      </c>
      <c r="E245" s="9">
        <v>3388.69</v>
      </c>
      <c r="F245" s="9">
        <v>1</v>
      </c>
      <c r="G245" s="9" t="s">
        <v>26</v>
      </c>
      <c r="H245" s="9">
        <v>172.59</v>
      </c>
      <c r="I245" s="9">
        <v>404.69</v>
      </c>
      <c r="J245" s="9" t="s">
        <v>17</v>
      </c>
      <c r="K245" s="9">
        <v>0.28999999999999998</v>
      </c>
      <c r="L245" s="9" t="s">
        <v>27</v>
      </c>
      <c r="M245" s="9" t="s">
        <v>19</v>
      </c>
      <c r="N245" s="9" t="s">
        <v>50</v>
      </c>
      <c r="O245" s="9"/>
    </row>
    <row r="246" spans="2:15" x14ac:dyDescent="0.25">
      <c r="B246" s="20">
        <v>45239</v>
      </c>
      <c r="C246" s="9" t="s">
        <v>24</v>
      </c>
      <c r="D246" s="9" t="s">
        <v>34</v>
      </c>
      <c r="E246" s="9">
        <v>6966.82</v>
      </c>
      <c r="F246" s="9">
        <v>1</v>
      </c>
      <c r="G246" s="9" t="s">
        <v>26</v>
      </c>
      <c r="H246" s="9">
        <v>1281.6500000000001</v>
      </c>
      <c r="I246" s="9">
        <v>1709.71</v>
      </c>
      <c r="J246" s="9" t="s">
        <v>17</v>
      </c>
      <c r="K246" s="9">
        <v>0.14000000000000001</v>
      </c>
      <c r="L246" s="9" t="s">
        <v>31</v>
      </c>
      <c r="M246" s="9" t="s">
        <v>19</v>
      </c>
      <c r="N246" s="9" t="s">
        <v>50</v>
      </c>
      <c r="O246" s="9"/>
    </row>
    <row r="247" spans="2:15" x14ac:dyDescent="0.25">
      <c r="B247" s="20">
        <v>45043</v>
      </c>
      <c r="C247" s="9" t="s">
        <v>42</v>
      </c>
      <c r="D247" s="9" t="s">
        <v>21</v>
      </c>
      <c r="E247" s="9">
        <v>7734.12</v>
      </c>
      <c r="F247" s="9">
        <v>42</v>
      </c>
      <c r="G247" s="9" t="s">
        <v>26</v>
      </c>
      <c r="H247" s="9">
        <v>2069.0500000000002</v>
      </c>
      <c r="I247" s="9">
        <v>2363.9</v>
      </c>
      <c r="J247" s="9" t="s">
        <v>17</v>
      </c>
      <c r="K247" s="9">
        <v>7.0000000000000007E-2</v>
      </c>
      <c r="L247" s="9" t="s">
        <v>18</v>
      </c>
      <c r="M247" s="9" t="s">
        <v>19</v>
      </c>
      <c r="N247" s="9" t="s">
        <v>51</v>
      </c>
      <c r="O247" s="9"/>
    </row>
    <row r="248" spans="2:15" x14ac:dyDescent="0.25">
      <c r="B248" s="20">
        <v>45080</v>
      </c>
      <c r="C248" s="9" t="s">
        <v>24</v>
      </c>
      <c r="D248" s="9" t="s">
        <v>21</v>
      </c>
      <c r="E248" s="9">
        <v>6581.04</v>
      </c>
      <c r="F248" s="9">
        <v>42</v>
      </c>
      <c r="G248" s="9" t="s">
        <v>29</v>
      </c>
      <c r="H248" s="9">
        <v>1434.2</v>
      </c>
      <c r="I248" s="9">
        <v>1482.88</v>
      </c>
      <c r="J248" s="9" t="s">
        <v>30</v>
      </c>
      <c r="K248" s="9">
        <v>0.28000000000000003</v>
      </c>
      <c r="L248" s="9" t="s">
        <v>31</v>
      </c>
      <c r="M248" s="9" t="s">
        <v>22</v>
      </c>
      <c r="N248" s="9" t="s">
        <v>47</v>
      </c>
      <c r="O248" s="9"/>
    </row>
    <row r="249" spans="2:15" x14ac:dyDescent="0.25">
      <c r="B249" s="20">
        <v>45217</v>
      </c>
      <c r="C249" s="9" t="s">
        <v>38</v>
      </c>
      <c r="D249" s="9" t="s">
        <v>21</v>
      </c>
      <c r="E249" s="9">
        <v>1600.79</v>
      </c>
      <c r="F249" s="9">
        <v>21</v>
      </c>
      <c r="G249" s="9" t="s">
        <v>16</v>
      </c>
      <c r="H249" s="9">
        <v>725.03</v>
      </c>
      <c r="I249" s="9">
        <v>828.94999999999902</v>
      </c>
      <c r="J249" s="9" t="s">
        <v>30</v>
      </c>
      <c r="K249" s="9">
        <v>0.18</v>
      </c>
      <c r="L249" s="9" t="s">
        <v>27</v>
      </c>
      <c r="M249" s="9" t="s">
        <v>19</v>
      </c>
      <c r="N249" s="9" t="s">
        <v>41</v>
      </c>
      <c r="O249" s="9"/>
    </row>
    <row r="250" spans="2:15" x14ac:dyDescent="0.25">
      <c r="B250" s="20">
        <v>44989</v>
      </c>
      <c r="C250" s="9" t="s">
        <v>14</v>
      </c>
      <c r="D250" s="9" t="s">
        <v>25</v>
      </c>
      <c r="E250" s="9">
        <v>8771.24</v>
      </c>
      <c r="F250" s="9">
        <v>15</v>
      </c>
      <c r="G250" s="9" t="s">
        <v>35</v>
      </c>
      <c r="H250" s="9">
        <v>3653.66</v>
      </c>
      <c r="I250" s="9">
        <v>3896.19</v>
      </c>
      <c r="J250" s="9" t="s">
        <v>30</v>
      </c>
      <c r="K250" s="9">
        <v>0.03</v>
      </c>
      <c r="L250" s="9" t="s">
        <v>31</v>
      </c>
      <c r="M250" s="9" t="s">
        <v>22</v>
      </c>
      <c r="N250" s="9" t="s">
        <v>32</v>
      </c>
      <c r="O250" s="9"/>
    </row>
    <row r="251" spans="2:15" x14ac:dyDescent="0.25">
      <c r="B251" s="20">
        <v>45170</v>
      </c>
      <c r="C251" s="9" t="s">
        <v>33</v>
      </c>
      <c r="D251" s="9" t="s">
        <v>21</v>
      </c>
      <c r="E251" s="9">
        <v>5437.04</v>
      </c>
      <c r="F251" s="9">
        <v>17</v>
      </c>
      <c r="G251" s="9" t="s">
        <v>35</v>
      </c>
      <c r="H251" s="9">
        <v>4075.08</v>
      </c>
      <c r="I251" s="9">
        <v>4262.21</v>
      </c>
      <c r="J251" s="9" t="s">
        <v>30</v>
      </c>
      <c r="K251" s="9">
        <v>0.17</v>
      </c>
      <c r="L251" s="9" t="s">
        <v>18</v>
      </c>
      <c r="M251" s="9" t="s">
        <v>19</v>
      </c>
      <c r="N251" s="9" t="s">
        <v>37</v>
      </c>
      <c r="O251" s="9"/>
    </row>
    <row r="252" spans="2:15" x14ac:dyDescent="0.25">
      <c r="B252" s="20">
        <v>44951</v>
      </c>
      <c r="C252" s="9" t="s">
        <v>38</v>
      </c>
      <c r="D252" s="9" t="s">
        <v>15</v>
      </c>
      <c r="E252" s="9">
        <v>2896.48</v>
      </c>
      <c r="F252" s="9">
        <v>22</v>
      </c>
      <c r="G252" s="9" t="s">
        <v>35</v>
      </c>
      <c r="H252" s="9">
        <v>1324.52</v>
      </c>
      <c r="I252" s="9">
        <v>1510.3</v>
      </c>
      <c r="J252" s="9" t="s">
        <v>17</v>
      </c>
      <c r="K252" s="9">
        <v>0.15</v>
      </c>
      <c r="L252" s="9" t="s">
        <v>18</v>
      </c>
      <c r="M252" s="9" t="s">
        <v>22</v>
      </c>
      <c r="N252" s="9" t="s">
        <v>40</v>
      </c>
      <c r="O252" s="9"/>
    </row>
    <row r="253" spans="2:15" x14ac:dyDescent="0.25">
      <c r="B253" s="20">
        <v>45016</v>
      </c>
      <c r="C253" s="9" t="s">
        <v>38</v>
      </c>
      <c r="D253" s="9" t="s">
        <v>34</v>
      </c>
      <c r="E253" s="9">
        <v>4309.76</v>
      </c>
      <c r="F253" s="9">
        <v>38</v>
      </c>
      <c r="G253" s="9" t="s">
        <v>35</v>
      </c>
      <c r="H253" s="9">
        <v>3883.38</v>
      </c>
      <c r="I253" s="9">
        <v>4152.72</v>
      </c>
      <c r="J253" s="9" t="s">
        <v>17</v>
      </c>
      <c r="K253" s="9">
        <v>0.26</v>
      </c>
      <c r="L253" s="9" t="s">
        <v>18</v>
      </c>
      <c r="M253" s="9" t="s">
        <v>19</v>
      </c>
      <c r="N253" s="9" t="s">
        <v>48</v>
      </c>
      <c r="O253" s="9"/>
    </row>
    <row r="254" spans="2:15" x14ac:dyDescent="0.25">
      <c r="B254" s="20">
        <v>45001</v>
      </c>
      <c r="C254" s="9" t="s">
        <v>24</v>
      </c>
      <c r="D254" s="9" t="s">
        <v>25</v>
      </c>
      <c r="E254" s="9">
        <v>471.95</v>
      </c>
      <c r="F254" s="9">
        <v>35</v>
      </c>
      <c r="G254" s="9" t="s">
        <v>26</v>
      </c>
      <c r="H254" s="9">
        <v>1958.49</v>
      </c>
      <c r="I254" s="9">
        <v>2254.84</v>
      </c>
      <c r="J254" s="9" t="s">
        <v>30</v>
      </c>
      <c r="K254" s="9">
        <v>0.16</v>
      </c>
      <c r="L254" s="9" t="s">
        <v>31</v>
      </c>
      <c r="M254" s="9" t="s">
        <v>19</v>
      </c>
      <c r="N254" s="9" t="s">
        <v>28</v>
      </c>
      <c r="O254" s="9"/>
    </row>
    <row r="255" spans="2:15" x14ac:dyDescent="0.25">
      <c r="B255" s="20">
        <v>45220</v>
      </c>
      <c r="C255" s="9" t="s">
        <v>42</v>
      </c>
      <c r="D255" s="9" t="s">
        <v>21</v>
      </c>
      <c r="E255" s="9">
        <v>1365.88</v>
      </c>
      <c r="F255" s="9">
        <v>45</v>
      </c>
      <c r="G255" s="9" t="s">
        <v>16</v>
      </c>
      <c r="H255" s="9">
        <v>2558.09</v>
      </c>
      <c r="I255" s="9">
        <v>2958.55</v>
      </c>
      <c r="J255" s="9" t="s">
        <v>30</v>
      </c>
      <c r="K255" s="9">
        <v>0.08</v>
      </c>
      <c r="L255" s="9" t="s">
        <v>18</v>
      </c>
      <c r="M255" s="9" t="s">
        <v>19</v>
      </c>
      <c r="N255" s="9" t="s">
        <v>51</v>
      </c>
      <c r="O255" s="9"/>
    </row>
    <row r="256" spans="2:15" x14ac:dyDescent="0.25">
      <c r="B256" s="20">
        <v>45136</v>
      </c>
      <c r="C256" s="9" t="s">
        <v>14</v>
      </c>
      <c r="D256" s="9" t="s">
        <v>25</v>
      </c>
      <c r="E256" s="9">
        <v>7678.91</v>
      </c>
      <c r="F256" s="9">
        <v>16</v>
      </c>
      <c r="G256" s="9" t="s">
        <v>16</v>
      </c>
      <c r="H256" s="9">
        <v>4287.21</v>
      </c>
      <c r="I256" s="9">
        <v>4464.28</v>
      </c>
      <c r="J256" s="9" t="s">
        <v>17</v>
      </c>
      <c r="K256" s="9">
        <v>0.2</v>
      </c>
      <c r="L256" s="9" t="s">
        <v>31</v>
      </c>
      <c r="M256" s="9" t="s">
        <v>22</v>
      </c>
      <c r="N256" s="9" t="s">
        <v>32</v>
      </c>
      <c r="O256" s="9"/>
    </row>
    <row r="257" spans="2:15" x14ac:dyDescent="0.25">
      <c r="B257" s="20">
        <v>45273</v>
      </c>
      <c r="C257" s="9" t="s">
        <v>42</v>
      </c>
      <c r="D257" s="9" t="s">
        <v>21</v>
      </c>
      <c r="E257" s="9">
        <v>100.12</v>
      </c>
      <c r="F257" s="9">
        <v>8</v>
      </c>
      <c r="G257" s="9" t="s">
        <v>29</v>
      </c>
      <c r="H257" s="9">
        <v>3762.27</v>
      </c>
      <c r="I257" s="9">
        <v>4166.95</v>
      </c>
      <c r="J257" s="9" t="s">
        <v>17</v>
      </c>
      <c r="K257" s="9">
        <v>0.16</v>
      </c>
      <c r="L257" s="9" t="s">
        <v>27</v>
      </c>
      <c r="M257" s="9" t="s">
        <v>19</v>
      </c>
      <c r="N257" s="9" t="s">
        <v>51</v>
      </c>
      <c r="O257" s="9"/>
    </row>
    <row r="258" spans="2:15" x14ac:dyDescent="0.25">
      <c r="B258" s="20">
        <v>44943</v>
      </c>
      <c r="C258" s="9" t="s">
        <v>14</v>
      </c>
      <c r="D258" s="9" t="s">
        <v>25</v>
      </c>
      <c r="E258" s="9">
        <v>4224</v>
      </c>
      <c r="F258" s="9">
        <v>47</v>
      </c>
      <c r="G258" s="9" t="s">
        <v>16</v>
      </c>
      <c r="H258" s="9">
        <v>4035.33</v>
      </c>
      <c r="I258" s="9">
        <v>4211.25</v>
      </c>
      <c r="J258" s="9" t="s">
        <v>17</v>
      </c>
      <c r="K258" s="9">
        <v>7.0000000000000007E-2</v>
      </c>
      <c r="L258" s="9" t="s">
        <v>27</v>
      </c>
      <c r="M258" s="9" t="s">
        <v>19</v>
      </c>
      <c r="N258" s="9" t="s">
        <v>32</v>
      </c>
      <c r="O258" s="9"/>
    </row>
    <row r="259" spans="2:15" x14ac:dyDescent="0.25">
      <c r="B259" s="20">
        <v>45054</v>
      </c>
      <c r="C259" s="9" t="s">
        <v>14</v>
      </c>
      <c r="D259" s="9" t="s">
        <v>34</v>
      </c>
      <c r="E259" s="9">
        <v>5272.85</v>
      </c>
      <c r="F259" s="9">
        <v>17</v>
      </c>
      <c r="G259" s="9" t="s">
        <v>16</v>
      </c>
      <c r="H259" s="9">
        <v>727.38</v>
      </c>
      <c r="I259" s="9">
        <v>764.54</v>
      </c>
      <c r="J259" s="9" t="s">
        <v>17</v>
      </c>
      <c r="K259" s="9">
        <v>0.17</v>
      </c>
      <c r="L259" s="9" t="s">
        <v>31</v>
      </c>
      <c r="M259" s="9" t="s">
        <v>22</v>
      </c>
      <c r="N259" s="9" t="s">
        <v>46</v>
      </c>
      <c r="O259" s="9"/>
    </row>
    <row r="260" spans="2:15" x14ac:dyDescent="0.25">
      <c r="B260" s="20">
        <v>45290</v>
      </c>
      <c r="C260" s="9" t="s">
        <v>42</v>
      </c>
      <c r="D260" s="9" t="s">
        <v>34</v>
      </c>
      <c r="E260" s="9">
        <v>640.88</v>
      </c>
      <c r="F260" s="9">
        <v>17</v>
      </c>
      <c r="G260" s="9" t="s">
        <v>16</v>
      </c>
      <c r="H260" s="9">
        <v>395.11</v>
      </c>
      <c r="I260" s="9">
        <v>676.66</v>
      </c>
      <c r="J260" s="9" t="s">
        <v>17</v>
      </c>
      <c r="K260" s="9">
        <v>0.25</v>
      </c>
      <c r="L260" s="9" t="s">
        <v>18</v>
      </c>
      <c r="M260" s="9" t="s">
        <v>22</v>
      </c>
      <c r="N260" s="9" t="s">
        <v>52</v>
      </c>
      <c r="O260" s="9"/>
    </row>
    <row r="261" spans="2:15" x14ac:dyDescent="0.25">
      <c r="B261" s="20">
        <v>45177</v>
      </c>
      <c r="C261" s="9" t="s">
        <v>38</v>
      </c>
      <c r="D261" s="9" t="s">
        <v>15</v>
      </c>
      <c r="E261" s="9">
        <v>9733.4699999999993</v>
      </c>
      <c r="F261" s="9">
        <v>26</v>
      </c>
      <c r="G261" s="9" t="s">
        <v>29</v>
      </c>
      <c r="H261" s="9">
        <v>4472.3500000000004</v>
      </c>
      <c r="I261" s="9">
        <v>4770.42</v>
      </c>
      <c r="J261" s="9" t="s">
        <v>30</v>
      </c>
      <c r="K261" s="9">
        <v>0.01</v>
      </c>
      <c r="L261" s="9" t="s">
        <v>31</v>
      </c>
      <c r="M261" s="9" t="s">
        <v>22</v>
      </c>
      <c r="N261" s="9" t="s">
        <v>40</v>
      </c>
      <c r="O261" s="9"/>
    </row>
    <row r="262" spans="2:15" x14ac:dyDescent="0.25">
      <c r="B262" s="20">
        <v>45105</v>
      </c>
      <c r="C262" s="9" t="s">
        <v>14</v>
      </c>
      <c r="D262" s="9" t="s">
        <v>15</v>
      </c>
      <c r="E262" s="9">
        <v>2338.64</v>
      </c>
      <c r="F262" s="9">
        <v>13</v>
      </c>
      <c r="G262" s="9" t="s">
        <v>35</v>
      </c>
      <c r="H262" s="9">
        <v>1969.78</v>
      </c>
      <c r="I262" s="9">
        <v>2437.6999999999998</v>
      </c>
      <c r="J262" s="9" t="s">
        <v>30</v>
      </c>
      <c r="K262" s="9">
        <v>0.19</v>
      </c>
      <c r="L262" s="9" t="s">
        <v>31</v>
      </c>
      <c r="M262" s="9" t="s">
        <v>22</v>
      </c>
      <c r="N262" s="9" t="s">
        <v>20</v>
      </c>
      <c r="O262" s="9"/>
    </row>
    <row r="263" spans="2:15" x14ac:dyDescent="0.25">
      <c r="B263" s="20">
        <v>45108</v>
      </c>
      <c r="C263" s="9" t="s">
        <v>42</v>
      </c>
      <c r="D263" s="9" t="s">
        <v>21</v>
      </c>
      <c r="E263" s="9">
        <v>3111.57</v>
      </c>
      <c r="F263" s="9">
        <v>17</v>
      </c>
      <c r="G263" s="9" t="s">
        <v>16</v>
      </c>
      <c r="H263" s="9">
        <v>1475</v>
      </c>
      <c r="I263" s="9">
        <v>1840.77</v>
      </c>
      <c r="J263" s="9" t="s">
        <v>17</v>
      </c>
      <c r="K263" s="9">
        <v>0.1</v>
      </c>
      <c r="L263" s="9" t="s">
        <v>31</v>
      </c>
      <c r="M263" s="9" t="s">
        <v>19</v>
      </c>
      <c r="N263" s="9" t="s">
        <v>51</v>
      </c>
      <c r="O263" s="9"/>
    </row>
    <row r="264" spans="2:15" x14ac:dyDescent="0.25">
      <c r="B264" s="20">
        <v>45078</v>
      </c>
      <c r="C264" s="9" t="s">
        <v>14</v>
      </c>
      <c r="D264" s="9" t="s">
        <v>34</v>
      </c>
      <c r="E264" s="9">
        <v>3109.03</v>
      </c>
      <c r="F264" s="9">
        <v>38</v>
      </c>
      <c r="G264" s="9" t="s">
        <v>29</v>
      </c>
      <c r="H264" s="9">
        <v>3637.25</v>
      </c>
      <c r="I264" s="9">
        <v>4096.96</v>
      </c>
      <c r="J264" s="9" t="s">
        <v>17</v>
      </c>
      <c r="K264" s="9">
        <v>0.09</v>
      </c>
      <c r="L264" s="9" t="s">
        <v>27</v>
      </c>
      <c r="M264" s="9" t="s">
        <v>19</v>
      </c>
      <c r="N264" s="9" t="s">
        <v>46</v>
      </c>
      <c r="O264" s="9"/>
    </row>
    <row r="265" spans="2:15" x14ac:dyDescent="0.25">
      <c r="B265" s="20">
        <v>44951</v>
      </c>
      <c r="C265" s="9" t="s">
        <v>33</v>
      </c>
      <c r="D265" s="9" t="s">
        <v>25</v>
      </c>
      <c r="E265" s="9">
        <v>2381.12</v>
      </c>
      <c r="F265" s="9">
        <v>17</v>
      </c>
      <c r="G265" s="9" t="s">
        <v>29</v>
      </c>
      <c r="H265" s="9">
        <v>4190.26</v>
      </c>
      <c r="I265" s="9">
        <v>4645.3500000000004</v>
      </c>
      <c r="J265" s="9" t="s">
        <v>30</v>
      </c>
      <c r="K265" s="9">
        <v>0.12</v>
      </c>
      <c r="L265" s="9" t="s">
        <v>31</v>
      </c>
      <c r="M265" s="9" t="s">
        <v>22</v>
      </c>
      <c r="N265" s="9" t="s">
        <v>44</v>
      </c>
      <c r="O265" s="9"/>
    </row>
    <row r="266" spans="2:15" x14ac:dyDescent="0.25">
      <c r="B266" s="20">
        <v>45106</v>
      </c>
      <c r="C266" s="9" t="s">
        <v>38</v>
      </c>
      <c r="D266" s="9" t="s">
        <v>25</v>
      </c>
      <c r="E266" s="9">
        <v>114.59</v>
      </c>
      <c r="F266" s="9">
        <v>48</v>
      </c>
      <c r="G266" s="9" t="s">
        <v>26</v>
      </c>
      <c r="H266" s="9">
        <v>4319.32</v>
      </c>
      <c r="I266" s="9">
        <v>4625.5599999999904</v>
      </c>
      <c r="J266" s="9" t="s">
        <v>17</v>
      </c>
      <c r="K266" s="9">
        <v>0.1</v>
      </c>
      <c r="L266" s="9" t="s">
        <v>27</v>
      </c>
      <c r="M266" s="9" t="s">
        <v>19</v>
      </c>
      <c r="N266" s="9" t="s">
        <v>39</v>
      </c>
      <c r="O266" s="9"/>
    </row>
    <row r="267" spans="2:15" x14ac:dyDescent="0.25">
      <c r="B267" s="20">
        <v>45124</v>
      </c>
      <c r="C267" s="9" t="s">
        <v>24</v>
      </c>
      <c r="D267" s="9" t="s">
        <v>25</v>
      </c>
      <c r="E267" s="9">
        <v>7320.51</v>
      </c>
      <c r="F267" s="9">
        <v>14</v>
      </c>
      <c r="G267" s="9" t="s">
        <v>29</v>
      </c>
      <c r="H267" s="9">
        <v>1614.19</v>
      </c>
      <c r="I267" s="9">
        <v>1882.79</v>
      </c>
      <c r="J267" s="9" t="s">
        <v>30</v>
      </c>
      <c r="K267" s="9">
        <v>0.25</v>
      </c>
      <c r="L267" s="9" t="s">
        <v>31</v>
      </c>
      <c r="M267" s="9" t="s">
        <v>22</v>
      </c>
      <c r="N267" s="9" t="s">
        <v>28</v>
      </c>
      <c r="O267" s="9"/>
    </row>
    <row r="268" spans="2:15" x14ac:dyDescent="0.25">
      <c r="B268" s="20">
        <v>45270</v>
      </c>
      <c r="C268" s="9" t="s">
        <v>14</v>
      </c>
      <c r="D268" s="9" t="s">
        <v>15</v>
      </c>
      <c r="E268" s="9">
        <v>9671.77</v>
      </c>
      <c r="F268" s="9">
        <v>45</v>
      </c>
      <c r="G268" s="9" t="s">
        <v>35</v>
      </c>
      <c r="H268" s="9">
        <v>4268.45</v>
      </c>
      <c r="I268" s="9">
        <v>4551.5999999999904</v>
      </c>
      <c r="J268" s="9" t="s">
        <v>30</v>
      </c>
      <c r="K268" s="9">
        <v>0.08</v>
      </c>
      <c r="L268" s="9" t="s">
        <v>27</v>
      </c>
      <c r="M268" s="9" t="s">
        <v>19</v>
      </c>
      <c r="N268" s="9" t="s">
        <v>20</v>
      </c>
      <c r="O268" s="9"/>
    </row>
    <row r="269" spans="2:15" x14ac:dyDescent="0.25">
      <c r="B269" s="20">
        <v>45087</v>
      </c>
      <c r="C269" s="9" t="s">
        <v>33</v>
      </c>
      <c r="D269" s="9" t="s">
        <v>25</v>
      </c>
      <c r="E269" s="9">
        <v>2320.5100000000002</v>
      </c>
      <c r="F269" s="9">
        <v>6</v>
      </c>
      <c r="G269" s="9" t="s">
        <v>16</v>
      </c>
      <c r="H269" s="9">
        <v>252.62</v>
      </c>
      <c r="I269" s="9">
        <v>742</v>
      </c>
      <c r="J269" s="9" t="s">
        <v>30</v>
      </c>
      <c r="K269" s="9">
        <v>0.22</v>
      </c>
      <c r="L269" s="9" t="s">
        <v>31</v>
      </c>
      <c r="M269" s="9" t="s">
        <v>22</v>
      </c>
      <c r="N269" s="9" t="s">
        <v>44</v>
      </c>
      <c r="O269" s="9"/>
    </row>
    <row r="270" spans="2:15" x14ac:dyDescent="0.25">
      <c r="B270" s="20">
        <v>45103</v>
      </c>
      <c r="C270" s="9" t="s">
        <v>24</v>
      </c>
      <c r="D270" s="9" t="s">
        <v>15</v>
      </c>
      <c r="E270" s="9">
        <v>6664.17</v>
      </c>
      <c r="F270" s="9">
        <v>35</v>
      </c>
      <c r="G270" s="9" t="s">
        <v>29</v>
      </c>
      <c r="H270" s="9">
        <v>295.82</v>
      </c>
      <c r="I270" s="9">
        <v>684.67</v>
      </c>
      <c r="J270" s="9" t="s">
        <v>30</v>
      </c>
      <c r="K270" s="9">
        <v>0.03</v>
      </c>
      <c r="L270" s="9" t="s">
        <v>31</v>
      </c>
      <c r="M270" s="9" t="s">
        <v>19</v>
      </c>
      <c r="N270" s="9" t="s">
        <v>45</v>
      </c>
      <c r="O270" s="9"/>
    </row>
    <row r="271" spans="2:15" x14ac:dyDescent="0.25">
      <c r="B271" s="20">
        <v>45211</v>
      </c>
      <c r="C271" s="9" t="s">
        <v>24</v>
      </c>
      <c r="D271" s="9" t="s">
        <v>15</v>
      </c>
      <c r="E271" s="9">
        <v>7444.77</v>
      </c>
      <c r="F271" s="9">
        <v>46</v>
      </c>
      <c r="G271" s="9" t="s">
        <v>35</v>
      </c>
      <c r="H271" s="9">
        <v>3136.42</v>
      </c>
      <c r="I271" s="9">
        <v>3198.49</v>
      </c>
      <c r="J271" s="9" t="s">
        <v>17</v>
      </c>
      <c r="K271" s="9">
        <v>0.28999999999999998</v>
      </c>
      <c r="L271" s="9" t="s">
        <v>18</v>
      </c>
      <c r="M271" s="9" t="s">
        <v>22</v>
      </c>
      <c r="N271" s="9" t="s">
        <v>45</v>
      </c>
      <c r="O271" s="9"/>
    </row>
    <row r="272" spans="2:15" x14ac:dyDescent="0.25">
      <c r="B272" s="20">
        <v>44989</v>
      </c>
      <c r="C272" s="9" t="s">
        <v>14</v>
      </c>
      <c r="D272" s="9" t="s">
        <v>21</v>
      </c>
      <c r="E272" s="9">
        <v>8499.41</v>
      </c>
      <c r="F272" s="9">
        <v>14</v>
      </c>
      <c r="G272" s="9" t="s">
        <v>29</v>
      </c>
      <c r="H272" s="9">
        <v>362.38</v>
      </c>
      <c r="I272" s="9">
        <v>753.81</v>
      </c>
      <c r="J272" s="9" t="s">
        <v>17</v>
      </c>
      <c r="K272" s="9">
        <v>0.19</v>
      </c>
      <c r="L272" s="9" t="s">
        <v>18</v>
      </c>
      <c r="M272" s="9" t="s">
        <v>22</v>
      </c>
      <c r="N272" s="9" t="s">
        <v>23</v>
      </c>
      <c r="O272" s="9"/>
    </row>
    <row r="273" spans="2:15" x14ac:dyDescent="0.25">
      <c r="B273" s="20">
        <v>45076</v>
      </c>
      <c r="C273" s="9" t="s">
        <v>42</v>
      </c>
      <c r="D273" s="9" t="s">
        <v>25</v>
      </c>
      <c r="E273" s="9">
        <v>4284.03</v>
      </c>
      <c r="F273" s="9">
        <v>47</v>
      </c>
      <c r="G273" s="9" t="s">
        <v>29</v>
      </c>
      <c r="H273" s="9">
        <v>1656.82</v>
      </c>
      <c r="I273" s="9">
        <v>1750.3799999999901</v>
      </c>
      <c r="J273" s="9" t="s">
        <v>30</v>
      </c>
      <c r="K273" s="9">
        <v>0.21</v>
      </c>
      <c r="L273" s="9" t="s">
        <v>31</v>
      </c>
      <c r="M273" s="9" t="s">
        <v>19</v>
      </c>
      <c r="N273" s="9" t="s">
        <v>43</v>
      </c>
      <c r="O273" s="9"/>
    </row>
    <row r="274" spans="2:15" x14ac:dyDescent="0.25">
      <c r="B274" s="20">
        <v>45080</v>
      </c>
      <c r="C274" s="9" t="s">
        <v>14</v>
      </c>
      <c r="D274" s="9" t="s">
        <v>25</v>
      </c>
      <c r="E274" s="9">
        <v>3099.02</v>
      </c>
      <c r="F274" s="9">
        <v>8</v>
      </c>
      <c r="G274" s="9" t="s">
        <v>29</v>
      </c>
      <c r="H274" s="9">
        <v>3380.14</v>
      </c>
      <c r="I274" s="9">
        <v>3609.3399999999901</v>
      </c>
      <c r="J274" s="9" t="s">
        <v>17</v>
      </c>
      <c r="K274" s="9">
        <v>0.09</v>
      </c>
      <c r="L274" s="9" t="s">
        <v>31</v>
      </c>
      <c r="M274" s="9" t="s">
        <v>19</v>
      </c>
      <c r="N274" s="9" t="s">
        <v>32</v>
      </c>
      <c r="O274" s="9"/>
    </row>
    <row r="275" spans="2:15" x14ac:dyDescent="0.25">
      <c r="B275" s="20">
        <v>45082</v>
      </c>
      <c r="C275" s="9" t="s">
        <v>33</v>
      </c>
      <c r="D275" s="9" t="s">
        <v>34</v>
      </c>
      <c r="E275" s="9">
        <v>3320.42</v>
      </c>
      <c r="F275" s="9">
        <v>15</v>
      </c>
      <c r="G275" s="9" t="s">
        <v>29</v>
      </c>
      <c r="H275" s="9">
        <v>1719.47</v>
      </c>
      <c r="I275" s="9">
        <v>1832.6</v>
      </c>
      <c r="J275" s="9" t="s">
        <v>17</v>
      </c>
      <c r="K275" s="9">
        <v>0.12</v>
      </c>
      <c r="L275" s="9" t="s">
        <v>31</v>
      </c>
      <c r="M275" s="9" t="s">
        <v>19</v>
      </c>
      <c r="N275" s="9" t="s">
        <v>36</v>
      </c>
      <c r="O275" s="9"/>
    </row>
    <row r="276" spans="2:15" x14ac:dyDescent="0.25">
      <c r="B276" s="20">
        <v>44975</v>
      </c>
      <c r="C276" s="9" t="s">
        <v>24</v>
      </c>
      <c r="D276" s="9" t="s">
        <v>21</v>
      </c>
      <c r="E276" s="9">
        <v>7154.95</v>
      </c>
      <c r="F276" s="9">
        <v>27</v>
      </c>
      <c r="G276" s="9" t="s">
        <v>29</v>
      </c>
      <c r="H276" s="9">
        <v>939.02</v>
      </c>
      <c r="I276" s="9">
        <v>1286.92</v>
      </c>
      <c r="J276" s="9" t="s">
        <v>17</v>
      </c>
      <c r="K276" s="9">
        <v>7.0000000000000007E-2</v>
      </c>
      <c r="L276" s="9" t="s">
        <v>31</v>
      </c>
      <c r="M276" s="9" t="s">
        <v>22</v>
      </c>
      <c r="N276" s="9" t="s">
        <v>47</v>
      </c>
      <c r="O276" s="9"/>
    </row>
    <row r="277" spans="2:15" x14ac:dyDescent="0.25">
      <c r="B277" s="20">
        <v>45263</v>
      </c>
      <c r="C277" s="9" t="s">
        <v>14</v>
      </c>
      <c r="D277" s="9" t="s">
        <v>34</v>
      </c>
      <c r="E277" s="9">
        <v>8186.12</v>
      </c>
      <c r="F277" s="9">
        <v>13</v>
      </c>
      <c r="G277" s="9" t="s">
        <v>35</v>
      </c>
      <c r="H277" s="9">
        <v>1442.69</v>
      </c>
      <c r="I277" s="9">
        <v>1882.57</v>
      </c>
      <c r="J277" s="9" t="s">
        <v>17</v>
      </c>
      <c r="K277" s="9">
        <v>0.28000000000000003</v>
      </c>
      <c r="L277" s="9" t="s">
        <v>18</v>
      </c>
      <c r="M277" s="9" t="s">
        <v>19</v>
      </c>
      <c r="N277" s="9" t="s">
        <v>46</v>
      </c>
      <c r="O277" s="9"/>
    </row>
    <row r="278" spans="2:15" x14ac:dyDescent="0.25">
      <c r="B278" s="20">
        <v>45010</v>
      </c>
      <c r="C278" s="9" t="s">
        <v>42</v>
      </c>
      <c r="D278" s="9" t="s">
        <v>21</v>
      </c>
      <c r="E278" s="9">
        <v>1897.98</v>
      </c>
      <c r="F278" s="9">
        <v>49</v>
      </c>
      <c r="G278" s="9" t="s">
        <v>16</v>
      </c>
      <c r="H278" s="9">
        <v>2315</v>
      </c>
      <c r="I278" s="9">
        <v>2467.2800000000002</v>
      </c>
      <c r="J278" s="9" t="s">
        <v>30</v>
      </c>
      <c r="K278" s="9">
        <v>0.15</v>
      </c>
      <c r="L278" s="9" t="s">
        <v>27</v>
      </c>
      <c r="M278" s="9" t="s">
        <v>22</v>
      </c>
      <c r="N278" s="9" t="s">
        <v>51</v>
      </c>
      <c r="O278" s="9"/>
    </row>
    <row r="279" spans="2:15" x14ac:dyDescent="0.25">
      <c r="B279" s="20">
        <v>45287</v>
      </c>
      <c r="C279" s="9" t="s">
        <v>14</v>
      </c>
      <c r="D279" s="9" t="s">
        <v>25</v>
      </c>
      <c r="E279" s="9">
        <v>3772.32</v>
      </c>
      <c r="F279" s="9">
        <v>31</v>
      </c>
      <c r="G279" s="9" t="s">
        <v>16</v>
      </c>
      <c r="H279" s="9">
        <v>2403.16</v>
      </c>
      <c r="I279" s="9">
        <v>2453.35</v>
      </c>
      <c r="J279" s="9" t="s">
        <v>17</v>
      </c>
      <c r="K279" s="9">
        <v>0.19</v>
      </c>
      <c r="L279" s="9" t="s">
        <v>31</v>
      </c>
      <c r="M279" s="9" t="s">
        <v>19</v>
      </c>
      <c r="N279" s="9" t="s">
        <v>32</v>
      </c>
      <c r="O279" s="9"/>
    </row>
    <row r="280" spans="2:15" x14ac:dyDescent="0.25">
      <c r="B280" s="20">
        <v>45103</v>
      </c>
      <c r="C280" s="9" t="s">
        <v>38</v>
      </c>
      <c r="D280" s="9" t="s">
        <v>15</v>
      </c>
      <c r="E280" s="9">
        <v>9029.2099999999991</v>
      </c>
      <c r="F280" s="9">
        <v>35</v>
      </c>
      <c r="G280" s="9" t="s">
        <v>16</v>
      </c>
      <c r="H280" s="9">
        <v>3925.85</v>
      </c>
      <c r="I280" s="9">
        <v>4082.1099999999901</v>
      </c>
      <c r="J280" s="9" t="s">
        <v>30</v>
      </c>
      <c r="K280" s="9">
        <v>0.22</v>
      </c>
      <c r="L280" s="9" t="s">
        <v>18</v>
      </c>
      <c r="M280" s="9" t="s">
        <v>19</v>
      </c>
      <c r="N280" s="9" t="s">
        <v>40</v>
      </c>
      <c r="O280" s="9"/>
    </row>
    <row r="281" spans="2:15" x14ac:dyDescent="0.25">
      <c r="B281" s="20">
        <v>45074</v>
      </c>
      <c r="C281" s="9" t="s">
        <v>42</v>
      </c>
      <c r="D281" s="9" t="s">
        <v>15</v>
      </c>
      <c r="E281" s="9">
        <v>8086.27</v>
      </c>
      <c r="F281" s="9">
        <v>6</v>
      </c>
      <c r="G281" s="9" t="s">
        <v>16</v>
      </c>
      <c r="H281" s="9">
        <v>3763.26</v>
      </c>
      <c r="I281" s="9">
        <v>4102.72</v>
      </c>
      <c r="J281" s="9" t="s">
        <v>30</v>
      </c>
      <c r="K281" s="9">
        <v>0.11</v>
      </c>
      <c r="L281" s="9" t="s">
        <v>31</v>
      </c>
      <c r="M281" s="9" t="s">
        <v>22</v>
      </c>
      <c r="N281" s="9" t="s">
        <v>49</v>
      </c>
      <c r="O281" s="9"/>
    </row>
    <row r="282" spans="2:15" x14ac:dyDescent="0.25">
      <c r="B282" s="20">
        <v>45044</v>
      </c>
      <c r="C282" s="9" t="s">
        <v>33</v>
      </c>
      <c r="D282" s="9" t="s">
        <v>15</v>
      </c>
      <c r="E282" s="9">
        <v>9850.1</v>
      </c>
      <c r="F282" s="9">
        <v>5</v>
      </c>
      <c r="G282" s="9" t="s">
        <v>35</v>
      </c>
      <c r="H282" s="9">
        <v>2311.25</v>
      </c>
      <c r="I282" s="9">
        <v>2482.34</v>
      </c>
      <c r="J282" s="9" t="s">
        <v>17</v>
      </c>
      <c r="K282" s="9">
        <v>0.22</v>
      </c>
      <c r="L282" s="9" t="s">
        <v>31</v>
      </c>
      <c r="M282" s="9" t="s">
        <v>22</v>
      </c>
      <c r="N282" s="9" t="s">
        <v>53</v>
      </c>
      <c r="O282" s="9"/>
    </row>
    <row r="283" spans="2:15" x14ac:dyDescent="0.25">
      <c r="B283" s="20">
        <v>45268</v>
      </c>
      <c r="C283" s="9" t="s">
        <v>24</v>
      </c>
      <c r="D283" s="9" t="s">
        <v>15</v>
      </c>
      <c r="E283" s="9">
        <v>7567.06</v>
      </c>
      <c r="F283" s="9">
        <v>22</v>
      </c>
      <c r="G283" s="9" t="s">
        <v>26</v>
      </c>
      <c r="H283" s="9">
        <v>4236.05</v>
      </c>
      <c r="I283" s="9">
        <v>4382.32</v>
      </c>
      <c r="J283" s="9" t="s">
        <v>30</v>
      </c>
      <c r="K283" s="9">
        <v>0.2</v>
      </c>
      <c r="L283" s="9" t="s">
        <v>27</v>
      </c>
      <c r="M283" s="9" t="s">
        <v>19</v>
      </c>
      <c r="N283" s="9" t="s">
        <v>45</v>
      </c>
      <c r="O283" s="9"/>
    </row>
    <row r="284" spans="2:15" x14ac:dyDescent="0.25">
      <c r="B284" s="20">
        <v>44989</v>
      </c>
      <c r="C284" s="9" t="s">
        <v>14</v>
      </c>
      <c r="D284" s="9" t="s">
        <v>15</v>
      </c>
      <c r="E284" s="9">
        <v>3992.63</v>
      </c>
      <c r="F284" s="9">
        <v>49</v>
      </c>
      <c r="G284" s="9" t="s">
        <v>26</v>
      </c>
      <c r="H284" s="9">
        <v>615.47</v>
      </c>
      <c r="I284" s="9">
        <v>715.84</v>
      </c>
      <c r="J284" s="9" t="s">
        <v>17</v>
      </c>
      <c r="K284" s="9">
        <v>0.21</v>
      </c>
      <c r="L284" s="9" t="s">
        <v>31</v>
      </c>
      <c r="M284" s="9" t="s">
        <v>22</v>
      </c>
      <c r="N284" s="9" t="s">
        <v>20</v>
      </c>
      <c r="O284" s="9"/>
    </row>
    <row r="285" spans="2:15" x14ac:dyDescent="0.25">
      <c r="B285" s="20">
        <v>45115</v>
      </c>
      <c r="C285" s="9" t="s">
        <v>42</v>
      </c>
      <c r="D285" s="9" t="s">
        <v>34</v>
      </c>
      <c r="E285" s="9">
        <v>5947.31</v>
      </c>
      <c r="F285" s="9">
        <v>23</v>
      </c>
      <c r="G285" s="9" t="s">
        <v>35</v>
      </c>
      <c r="H285" s="9">
        <v>1314</v>
      </c>
      <c r="I285" s="9">
        <v>1567.78</v>
      </c>
      <c r="J285" s="9" t="s">
        <v>17</v>
      </c>
      <c r="K285" s="9">
        <v>0.15</v>
      </c>
      <c r="L285" s="9" t="s">
        <v>31</v>
      </c>
      <c r="M285" s="9" t="s">
        <v>22</v>
      </c>
      <c r="N285" s="9" t="s">
        <v>52</v>
      </c>
      <c r="O285" s="9"/>
    </row>
    <row r="286" spans="2:15" x14ac:dyDescent="0.25">
      <c r="B286" s="20">
        <v>45286</v>
      </c>
      <c r="C286" s="9" t="s">
        <v>38</v>
      </c>
      <c r="D286" s="9" t="s">
        <v>21</v>
      </c>
      <c r="E286" s="9">
        <v>6644.04</v>
      </c>
      <c r="F286" s="9">
        <v>25</v>
      </c>
      <c r="G286" s="9" t="s">
        <v>35</v>
      </c>
      <c r="H286" s="9">
        <v>4148.4799999999996</v>
      </c>
      <c r="I286" s="9">
        <v>4293.6899999999996</v>
      </c>
      <c r="J286" s="9" t="s">
        <v>30</v>
      </c>
      <c r="K286" s="9">
        <v>0.11</v>
      </c>
      <c r="L286" s="9" t="s">
        <v>27</v>
      </c>
      <c r="M286" s="9" t="s">
        <v>19</v>
      </c>
      <c r="N286" s="9" t="s">
        <v>41</v>
      </c>
      <c r="O286" s="9"/>
    </row>
    <row r="287" spans="2:15" x14ac:dyDescent="0.25">
      <c r="B287" s="20">
        <v>44975</v>
      </c>
      <c r="C287" s="9" t="s">
        <v>42</v>
      </c>
      <c r="D287" s="9" t="s">
        <v>25</v>
      </c>
      <c r="E287" s="9">
        <v>876.71</v>
      </c>
      <c r="F287" s="9">
        <v>34</v>
      </c>
      <c r="G287" s="9" t="s">
        <v>29</v>
      </c>
      <c r="H287" s="9">
        <v>1921.07</v>
      </c>
      <c r="I287" s="9">
        <v>2289.27</v>
      </c>
      <c r="J287" s="9" t="s">
        <v>17</v>
      </c>
      <c r="K287" s="9">
        <v>7.0000000000000007E-2</v>
      </c>
      <c r="L287" s="9" t="s">
        <v>27</v>
      </c>
      <c r="M287" s="9" t="s">
        <v>22</v>
      </c>
      <c r="N287" s="9" t="s">
        <v>43</v>
      </c>
      <c r="O287" s="9"/>
    </row>
    <row r="288" spans="2:15" x14ac:dyDescent="0.25">
      <c r="B288" s="20">
        <v>45253</v>
      </c>
      <c r="C288" s="9" t="s">
        <v>38</v>
      </c>
      <c r="D288" s="9" t="s">
        <v>34</v>
      </c>
      <c r="E288" s="9">
        <v>5490.52</v>
      </c>
      <c r="F288" s="9">
        <v>26</v>
      </c>
      <c r="G288" s="9" t="s">
        <v>29</v>
      </c>
      <c r="H288" s="9">
        <v>4906.8500000000004</v>
      </c>
      <c r="I288" s="9">
        <v>4954.3900000000003</v>
      </c>
      <c r="J288" s="9" t="s">
        <v>30</v>
      </c>
      <c r="K288" s="9">
        <v>0.25</v>
      </c>
      <c r="L288" s="9" t="s">
        <v>27</v>
      </c>
      <c r="M288" s="9" t="s">
        <v>19</v>
      </c>
      <c r="N288" s="9" t="s">
        <v>48</v>
      </c>
      <c r="O288" s="9"/>
    </row>
    <row r="289" spans="2:14" x14ac:dyDescent="0.25">
      <c r="B289" s="1">
        <v>45183</v>
      </c>
      <c r="C289" t="s">
        <v>33</v>
      </c>
      <c r="D289" t="s">
        <v>21</v>
      </c>
      <c r="E289">
        <v>7122.28</v>
      </c>
      <c r="F289">
        <v>47</v>
      </c>
      <c r="G289" t="s">
        <v>29</v>
      </c>
      <c r="H289">
        <v>2357.9499999999998</v>
      </c>
      <c r="I289">
        <v>2693.33</v>
      </c>
      <c r="J289" t="s">
        <v>30</v>
      </c>
      <c r="K289">
        <v>0.18</v>
      </c>
      <c r="L289" t="s">
        <v>27</v>
      </c>
      <c r="M289" t="s">
        <v>19</v>
      </c>
      <c r="N289" t="s">
        <v>37</v>
      </c>
    </row>
    <row r="290" spans="2:14" x14ac:dyDescent="0.25">
      <c r="B290" s="1">
        <v>45150</v>
      </c>
      <c r="C290" t="s">
        <v>24</v>
      </c>
      <c r="D290" t="s">
        <v>15</v>
      </c>
      <c r="E290">
        <v>1756.48</v>
      </c>
      <c r="F290">
        <v>5</v>
      </c>
      <c r="G290" t="s">
        <v>16</v>
      </c>
      <c r="H290">
        <v>3970.08</v>
      </c>
      <c r="I290">
        <v>4096.4799999999996</v>
      </c>
      <c r="J290" t="s">
        <v>17</v>
      </c>
      <c r="K290">
        <v>0.13</v>
      </c>
      <c r="L290" t="s">
        <v>18</v>
      </c>
      <c r="M290" t="s">
        <v>22</v>
      </c>
      <c r="N290" t="s">
        <v>45</v>
      </c>
    </row>
    <row r="291" spans="2:14" x14ac:dyDescent="0.25">
      <c r="B291" s="1">
        <v>45067</v>
      </c>
      <c r="C291" t="s">
        <v>33</v>
      </c>
      <c r="D291" t="s">
        <v>21</v>
      </c>
      <c r="E291">
        <v>7828.25</v>
      </c>
      <c r="F291">
        <v>26</v>
      </c>
      <c r="G291" t="s">
        <v>29</v>
      </c>
      <c r="H291">
        <v>2041.42</v>
      </c>
      <c r="I291">
        <v>2291.17</v>
      </c>
      <c r="J291" t="s">
        <v>17</v>
      </c>
      <c r="K291">
        <v>0.28000000000000003</v>
      </c>
      <c r="L291" t="s">
        <v>18</v>
      </c>
      <c r="M291" t="s">
        <v>19</v>
      </c>
      <c r="N291" t="s">
        <v>37</v>
      </c>
    </row>
    <row r="292" spans="2:14" x14ac:dyDescent="0.25">
      <c r="B292" s="1">
        <v>45141</v>
      </c>
      <c r="C292" t="s">
        <v>14</v>
      </c>
      <c r="D292" t="s">
        <v>21</v>
      </c>
      <c r="E292">
        <v>5879.35</v>
      </c>
      <c r="F292">
        <v>20</v>
      </c>
      <c r="G292" t="s">
        <v>26</v>
      </c>
      <c r="H292">
        <v>2153.52</v>
      </c>
      <c r="I292">
        <v>2303.6999999999998</v>
      </c>
      <c r="J292" t="s">
        <v>17</v>
      </c>
      <c r="K292">
        <v>0.01</v>
      </c>
      <c r="L292" t="s">
        <v>18</v>
      </c>
      <c r="M292" t="s">
        <v>22</v>
      </c>
      <c r="N292" t="s">
        <v>23</v>
      </c>
    </row>
    <row r="293" spans="2:14" x14ac:dyDescent="0.25">
      <c r="B293" s="1">
        <v>45137</v>
      </c>
      <c r="C293" t="s">
        <v>42</v>
      </c>
      <c r="D293" t="s">
        <v>15</v>
      </c>
      <c r="E293">
        <v>9527</v>
      </c>
      <c r="F293">
        <v>6</v>
      </c>
      <c r="G293" t="s">
        <v>16</v>
      </c>
      <c r="H293">
        <v>1945.27</v>
      </c>
      <c r="I293">
        <v>2309.4299999999998</v>
      </c>
      <c r="J293" t="s">
        <v>30</v>
      </c>
      <c r="K293">
        <v>0.26</v>
      </c>
      <c r="L293" t="s">
        <v>31</v>
      </c>
      <c r="M293" t="s">
        <v>19</v>
      </c>
      <c r="N293" t="s">
        <v>49</v>
      </c>
    </row>
    <row r="294" spans="2:14" x14ac:dyDescent="0.25">
      <c r="B294" s="1">
        <v>45244</v>
      </c>
      <c r="C294" t="s">
        <v>38</v>
      </c>
      <c r="D294" t="s">
        <v>15</v>
      </c>
      <c r="E294">
        <v>519.98</v>
      </c>
      <c r="F294">
        <v>6</v>
      </c>
      <c r="G294" t="s">
        <v>29</v>
      </c>
      <c r="H294">
        <v>3609.42</v>
      </c>
      <c r="I294">
        <v>4082.62</v>
      </c>
      <c r="J294" t="s">
        <v>17</v>
      </c>
      <c r="K294">
        <v>0.3</v>
      </c>
      <c r="L294" t="s">
        <v>27</v>
      </c>
      <c r="M294" t="s">
        <v>22</v>
      </c>
      <c r="N294" t="s">
        <v>40</v>
      </c>
    </row>
    <row r="295" spans="2:14" x14ac:dyDescent="0.25">
      <c r="B295" s="1">
        <v>44958</v>
      </c>
      <c r="C295" t="s">
        <v>38</v>
      </c>
      <c r="D295" t="s">
        <v>15</v>
      </c>
      <c r="E295">
        <v>2726.73</v>
      </c>
      <c r="F295">
        <v>18</v>
      </c>
      <c r="G295" t="s">
        <v>16</v>
      </c>
      <c r="H295">
        <v>2760.21</v>
      </c>
      <c r="I295">
        <v>3219.58</v>
      </c>
      <c r="J295" t="s">
        <v>30</v>
      </c>
      <c r="K295">
        <v>0.27</v>
      </c>
      <c r="L295" t="s">
        <v>27</v>
      </c>
      <c r="M295" t="s">
        <v>22</v>
      </c>
      <c r="N295" t="s">
        <v>40</v>
      </c>
    </row>
    <row r="296" spans="2:14" x14ac:dyDescent="0.25">
      <c r="B296" s="1">
        <v>45084</v>
      </c>
      <c r="C296" t="s">
        <v>42</v>
      </c>
      <c r="D296" t="s">
        <v>25</v>
      </c>
      <c r="E296">
        <v>6055.38</v>
      </c>
      <c r="F296">
        <v>4</v>
      </c>
      <c r="G296" t="s">
        <v>26</v>
      </c>
      <c r="H296">
        <v>4721.7</v>
      </c>
      <c r="I296">
        <v>5017.58</v>
      </c>
      <c r="J296" t="s">
        <v>30</v>
      </c>
      <c r="K296">
        <v>0.24</v>
      </c>
      <c r="L296" t="s">
        <v>18</v>
      </c>
      <c r="M296" t="s">
        <v>22</v>
      </c>
      <c r="N296" t="s">
        <v>43</v>
      </c>
    </row>
    <row r="297" spans="2:14" x14ac:dyDescent="0.25">
      <c r="B297" s="1">
        <v>45211</v>
      </c>
      <c r="C297" t="s">
        <v>42</v>
      </c>
      <c r="D297" t="s">
        <v>15</v>
      </c>
      <c r="E297">
        <v>3035.94</v>
      </c>
      <c r="F297">
        <v>17</v>
      </c>
      <c r="G297" t="s">
        <v>29</v>
      </c>
      <c r="H297">
        <v>1291.9100000000001</v>
      </c>
      <c r="I297">
        <v>1528.59</v>
      </c>
      <c r="J297" t="s">
        <v>17</v>
      </c>
      <c r="K297">
        <v>0.11</v>
      </c>
      <c r="L297" t="s">
        <v>31</v>
      </c>
      <c r="M297" t="s">
        <v>22</v>
      </c>
      <c r="N297" t="s">
        <v>49</v>
      </c>
    </row>
    <row r="298" spans="2:14" x14ac:dyDescent="0.25">
      <c r="B298" s="1">
        <v>45231</v>
      </c>
      <c r="C298" t="s">
        <v>14</v>
      </c>
      <c r="D298" t="s">
        <v>25</v>
      </c>
      <c r="E298">
        <v>7172.8</v>
      </c>
      <c r="F298">
        <v>14</v>
      </c>
      <c r="G298" t="s">
        <v>26</v>
      </c>
      <c r="H298">
        <v>547.79</v>
      </c>
      <c r="I298">
        <v>958.76</v>
      </c>
      <c r="J298" t="s">
        <v>17</v>
      </c>
      <c r="K298">
        <v>7.0000000000000007E-2</v>
      </c>
      <c r="L298" t="s">
        <v>31</v>
      </c>
      <c r="M298" t="s">
        <v>22</v>
      </c>
      <c r="N298" t="s">
        <v>32</v>
      </c>
    </row>
    <row r="299" spans="2:14" x14ac:dyDescent="0.25">
      <c r="B299" s="1">
        <v>45212</v>
      </c>
      <c r="C299" t="s">
        <v>33</v>
      </c>
      <c r="D299" t="s">
        <v>15</v>
      </c>
      <c r="E299">
        <v>7614.15</v>
      </c>
      <c r="F299">
        <v>14</v>
      </c>
      <c r="G299" t="s">
        <v>26</v>
      </c>
      <c r="H299">
        <v>1996.64</v>
      </c>
      <c r="I299">
        <v>2341.4699999999998</v>
      </c>
      <c r="J299" t="s">
        <v>17</v>
      </c>
      <c r="K299">
        <v>0.22</v>
      </c>
      <c r="L299" t="s">
        <v>31</v>
      </c>
      <c r="M299" t="s">
        <v>19</v>
      </c>
      <c r="N299" t="s">
        <v>53</v>
      </c>
    </row>
    <row r="300" spans="2:14" x14ac:dyDescent="0.25">
      <c r="B300" s="1">
        <v>45070</v>
      </c>
      <c r="C300" t="s">
        <v>38</v>
      </c>
      <c r="D300" t="s">
        <v>25</v>
      </c>
      <c r="E300">
        <v>1114.9100000000001</v>
      </c>
      <c r="F300">
        <v>13</v>
      </c>
      <c r="G300" t="s">
        <v>26</v>
      </c>
      <c r="H300">
        <v>3102.73</v>
      </c>
      <c r="I300">
        <v>3202.68</v>
      </c>
      <c r="J300" t="s">
        <v>30</v>
      </c>
      <c r="K300">
        <v>0.09</v>
      </c>
      <c r="L300" t="s">
        <v>18</v>
      </c>
      <c r="M300" t="s">
        <v>19</v>
      </c>
      <c r="N300" t="s">
        <v>39</v>
      </c>
    </row>
    <row r="301" spans="2:14" x14ac:dyDescent="0.25">
      <c r="B301" s="1">
        <v>44945</v>
      </c>
      <c r="C301" t="s">
        <v>14</v>
      </c>
      <c r="D301" t="s">
        <v>21</v>
      </c>
      <c r="E301">
        <v>5187.16</v>
      </c>
      <c r="F301">
        <v>7</v>
      </c>
      <c r="G301" t="s">
        <v>29</v>
      </c>
      <c r="H301">
        <v>4310.95</v>
      </c>
      <c r="I301">
        <v>4723.2</v>
      </c>
      <c r="J301" t="s">
        <v>17</v>
      </c>
      <c r="K301">
        <v>0.05</v>
      </c>
      <c r="L301" t="s">
        <v>31</v>
      </c>
      <c r="M301" t="s">
        <v>22</v>
      </c>
      <c r="N301" t="s">
        <v>23</v>
      </c>
    </row>
    <row r="302" spans="2:14" x14ac:dyDescent="0.25">
      <c r="B302" s="1">
        <v>44944</v>
      </c>
      <c r="C302" t="s">
        <v>33</v>
      </c>
      <c r="D302" t="s">
        <v>34</v>
      </c>
      <c r="E302">
        <v>5138.0200000000004</v>
      </c>
      <c r="F302">
        <v>44</v>
      </c>
      <c r="G302" t="s">
        <v>35</v>
      </c>
      <c r="H302">
        <v>1763.67</v>
      </c>
      <c r="I302">
        <v>1983.82</v>
      </c>
      <c r="J302" t="s">
        <v>30</v>
      </c>
      <c r="K302">
        <v>0.24</v>
      </c>
      <c r="L302" t="s">
        <v>31</v>
      </c>
      <c r="M302" t="s">
        <v>19</v>
      </c>
      <c r="N302" t="s">
        <v>36</v>
      </c>
    </row>
    <row r="303" spans="2:14" x14ac:dyDescent="0.25">
      <c r="B303" s="1">
        <v>45183</v>
      </c>
      <c r="C303" t="s">
        <v>14</v>
      </c>
      <c r="D303" t="s">
        <v>21</v>
      </c>
      <c r="E303">
        <v>3755.88</v>
      </c>
      <c r="F303">
        <v>15</v>
      </c>
      <c r="G303" t="s">
        <v>29</v>
      </c>
      <c r="H303">
        <v>3286.24</v>
      </c>
      <c r="I303">
        <v>3388.8399999999901</v>
      </c>
      <c r="J303" t="s">
        <v>17</v>
      </c>
      <c r="K303">
        <v>0.09</v>
      </c>
      <c r="L303" t="s">
        <v>31</v>
      </c>
      <c r="M303" t="s">
        <v>22</v>
      </c>
      <c r="N303" t="s">
        <v>23</v>
      </c>
    </row>
    <row r="304" spans="2:14" x14ac:dyDescent="0.25">
      <c r="B304" s="1">
        <v>45004</v>
      </c>
      <c r="C304" t="s">
        <v>38</v>
      </c>
      <c r="D304" t="s">
        <v>21</v>
      </c>
      <c r="E304">
        <v>9335.9599999999991</v>
      </c>
      <c r="F304">
        <v>19</v>
      </c>
      <c r="G304" t="s">
        <v>26</v>
      </c>
      <c r="H304">
        <v>1783.48</v>
      </c>
      <c r="I304">
        <v>1931.56</v>
      </c>
      <c r="J304" t="s">
        <v>17</v>
      </c>
      <c r="K304">
        <v>0.27</v>
      </c>
      <c r="L304" t="s">
        <v>27</v>
      </c>
      <c r="M304" t="s">
        <v>22</v>
      </c>
      <c r="N304" t="s">
        <v>41</v>
      </c>
    </row>
    <row r="305" spans="2:14" x14ac:dyDescent="0.25">
      <c r="B305" s="1">
        <v>45101</v>
      </c>
      <c r="C305" t="s">
        <v>42</v>
      </c>
      <c r="D305" t="s">
        <v>15</v>
      </c>
      <c r="E305">
        <v>8292.31</v>
      </c>
      <c r="F305">
        <v>43</v>
      </c>
      <c r="G305" t="s">
        <v>29</v>
      </c>
      <c r="H305">
        <v>3105.24</v>
      </c>
      <c r="I305">
        <v>3246.33</v>
      </c>
      <c r="J305" t="s">
        <v>30</v>
      </c>
      <c r="K305">
        <v>0.25</v>
      </c>
      <c r="L305" t="s">
        <v>18</v>
      </c>
      <c r="M305" t="s">
        <v>19</v>
      </c>
      <c r="N305" t="s">
        <v>49</v>
      </c>
    </row>
    <row r="306" spans="2:14" x14ac:dyDescent="0.25">
      <c r="B306" s="1">
        <v>45120</v>
      </c>
      <c r="C306" t="s">
        <v>42</v>
      </c>
      <c r="D306" t="s">
        <v>25</v>
      </c>
      <c r="E306">
        <v>7002.37</v>
      </c>
      <c r="F306">
        <v>47</v>
      </c>
      <c r="G306" t="s">
        <v>26</v>
      </c>
      <c r="H306">
        <v>4429.8</v>
      </c>
      <c r="I306">
        <v>4694.21</v>
      </c>
      <c r="J306" t="s">
        <v>30</v>
      </c>
      <c r="K306">
        <v>0.25</v>
      </c>
      <c r="L306" t="s">
        <v>27</v>
      </c>
      <c r="M306" t="s">
        <v>19</v>
      </c>
      <c r="N306" t="s">
        <v>43</v>
      </c>
    </row>
    <row r="307" spans="2:14" x14ac:dyDescent="0.25">
      <c r="B307" s="1">
        <v>45039</v>
      </c>
      <c r="C307" t="s">
        <v>33</v>
      </c>
      <c r="D307" t="s">
        <v>34</v>
      </c>
      <c r="E307">
        <v>7171.83</v>
      </c>
      <c r="F307">
        <v>44</v>
      </c>
      <c r="G307" t="s">
        <v>35</v>
      </c>
      <c r="H307">
        <v>1195.22</v>
      </c>
      <c r="I307">
        <v>1320.06</v>
      </c>
      <c r="J307" t="s">
        <v>17</v>
      </c>
      <c r="K307">
        <v>0.23</v>
      </c>
      <c r="L307" t="s">
        <v>27</v>
      </c>
      <c r="M307" t="s">
        <v>22</v>
      </c>
      <c r="N307" t="s">
        <v>36</v>
      </c>
    </row>
    <row r="308" spans="2:14" x14ac:dyDescent="0.25">
      <c r="B308" s="1">
        <v>45040</v>
      </c>
      <c r="C308" t="s">
        <v>24</v>
      </c>
      <c r="D308" t="s">
        <v>15</v>
      </c>
      <c r="E308">
        <v>4670.99</v>
      </c>
      <c r="F308">
        <v>35</v>
      </c>
      <c r="G308" t="s">
        <v>16</v>
      </c>
      <c r="H308">
        <v>2051</v>
      </c>
      <c r="I308">
        <v>2121.5500000000002</v>
      </c>
      <c r="J308" t="s">
        <v>17</v>
      </c>
      <c r="K308">
        <v>0.26</v>
      </c>
      <c r="L308" t="s">
        <v>18</v>
      </c>
      <c r="M308" t="s">
        <v>22</v>
      </c>
      <c r="N308" t="s">
        <v>45</v>
      </c>
    </row>
    <row r="309" spans="2:14" x14ac:dyDescent="0.25">
      <c r="B309" s="1">
        <v>45148</v>
      </c>
      <c r="C309" t="s">
        <v>33</v>
      </c>
      <c r="D309" t="s">
        <v>15</v>
      </c>
      <c r="E309">
        <v>9217.85</v>
      </c>
      <c r="F309">
        <v>17</v>
      </c>
      <c r="G309" t="s">
        <v>35</v>
      </c>
      <c r="H309">
        <v>4966.66</v>
      </c>
      <c r="I309">
        <v>5037.2699999999904</v>
      </c>
      <c r="J309" t="s">
        <v>17</v>
      </c>
      <c r="K309">
        <v>0.24</v>
      </c>
      <c r="L309" t="s">
        <v>27</v>
      </c>
      <c r="M309" t="s">
        <v>22</v>
      </c>
      <c r="N309" t="s">
        <v>53</v>
      </c>
    </row>
    <row r="310" spans="2:14" x14ac:dyDescent="0.25">
      <c r="B310" s="1">
        <v>45092</v>
      </c>
      <c r="C310" t="s">
        <v>24</v>
      </c>
      <c r="D310" t="s">
        <v>15</v>
      </c>
      <c r="E310">
        <v>6976.49</v>
      </c>
      <c r="F310">
        <v>35</v>
      </c>
      <c r="G310" t="s">
        <v>35</v>
      </c>
      <c r="H310">
        <v>4349.3599999999997</v>
      </c>
      <c r="I310">
        <v>4645.17</v>
      </c>
      <c r="J310" t="s">
        <v>17</v>
      </c>
      <c r="K310">
        <v>0.18</v>
      </c>
      <c r="L310" t="s">
        <v>31</v>
      </c>
      <c r="M310" t="s">
        <v>22</v>
      </c>
      <c r="N310" t="s">
        <v>45</v>
      </c>
    </row>
    <row r="311" spans="2:14" x14ac:dyDescent="0.25">
      <c r="B311" s="1">
        <v>45245</v>
      </c>
      <c r="C311" t="s">
        <v>14</v>
      </c>
      <c r="D311" t="s">
        <v>21</v>
      </c>
      <c r="E311">
        <v>7316.91</v>
      </c>
      <c r="F311">
        <v>19</v>
      </c>
      <c r="G311" t="s">
        <v>16</v>
      </c>
      <c r="H311">
        <v>2844.97</v>
      </c>
      <c r="I311">
        <v>3215</v>
      </c>
      <c r="J311" t="s">
        <v>17</v>
      </c>
      <c r="K311">
        <v>0.09</v>
      </c>
      <c r="L311" t="s">
        <v>31</v>
      </c>
      <c r="M311" t="s">
        <v>22</v>
      </c>
      <c r="N311" t="s">
        <v>23</v>
      </c>
    </row>
    <row r="312" spans="2:14" x14ac:dyDescent="0.25">
      <c r="B312" s="1">
        <v>45058</v>
      </c>
      <c r="C312" t="s">
        <v>14</v>
      </c>
      <c r="D312" t="s">
        <v>25</v>
      </c>
      <c r="E312">
        <v>8630.74</v>
      </c>
      <c r="F312">
        <v>20</v>
      </c>
      <c r="G312" t="s">
        <v>29</v>
      </c>
      <c r="H312">
        <v>2607.31</v>
      </c>
      <c r="I312">
        <v>2774.86</v>
      </c>
      <c r="J312" t="s">
        <v>30</v>
      </c>
      <c r="K312">
        <v>0.27</v>
      </c>
      <c r="L312" t="s">
        <v>31</v>
      </c>
      <c r="M312" t="s">
        <v>22</v>
      </c>
      <c r="N312" t="s">
        <v>32</v>
      </c>
    </row>
    <row r="313" spans="2:14" x14ac:dyDescent="0.25">
      <c r="B313" s="1">
        <v>45190</v>
      </c>
      <c r="C313" t="s">
        <v>38</v>
      </c>
      <c r="D313" t="s">
        <v>25</v>
      </c>
      <c r="E313">
        <v>2813.31</v>
      </c>
      <c r="F313">
        <v>36</v>
      </c>
      <c r="G313" t="s">
        <v>16</v>
      </c>
      <c r="H313">
        <v>1458.77</v>
      </c>
      <c r="I313">
        <v>1485.75</v>
      </c>
      <c r="J313" t="s">
        <v>30</v>
      </c>
      <c r="K313">
        <v>0.25</v>
      </c>
      <c r="L313" t="s">
        <v>31</v>
      </c>
      <c r="M313" t="s">
        <v>19</v>
      </c>
      <c r="N313" t="s">
        <v>39</v>
      </c>
    </row>
    <row r="314" spans="2:14" x14ac:dyDescent="0.25">
      <c r="B314" s="1">
        <v>44981</v>
      </c>
      <c r="C314" t="s">
        <v>24</v>
      </c>
      <c r="D314" t="s">
        <v>34</v>
      </c>
      <c r="E314">
        <v>8090</v>
      </c>
      <c r="F314">
        <v>35</v>
      </c>
      <c r="G314" t="s">
        <v>29</v>
      </c>
      <c r="H314">
        <v>2610.19</v>
      </c>
      <c r="I314">
        <v>2682.53</v>
      </c>
      <c r="J314" t="s">
        <v>30</v>
      </c>
      <c r="K314">
        <v>0.14000000000000001</v>
      </c>
      <c r="L314" t="s">
        <v>18</v>
      </c>
      <c r="M314" t="s">
        <v>22</v>
      </c>
      <c r="N314" t="s">
        <v>50</v>
      </c>
    </row>
    <row r="315" spans="2:14" x14ac:dyDescent="0.25">
      <c r="B315" s="1">
        <v>45285</v>
      </c>
      <c r="C315" t="s">
        <v>38</v>
      </c>
      <c r="D315" t="s">
        <v>25</v>
      </c>
      <c r="E315">
        <v>2032.88</v>
      </c>
      <c r="F315">
        <v>32</v>
      </c>
      <c r="G315" t="s">
        <v>29</v>
      </c>
      <c r="H315">
        <v>4248.5</v>
      </c>
      <c r="I315">
        <v>4706.7</v>
      </c>
      <c r="J315" t="s">
        <v>30</v>
      </c>
      <c r="K315">
        <v>0.01</v>
      </c>
      <c r="L315" t="s">
        <v>27</v>
      </c>
      <c r="M315" t="s">
        <v>22</v>
      </c>
      <c r="N315" t="s">
        <v>39</v>
      </c>
    </row>
    <row r="316" spans="2:14" x14ac:dyDescent="0.25">
      <c r="B316" s="1">
        <v>45057</v>
      </c>
      <c r="C316" t="s">
        <v>42</v>
      </c>
      <c r="D316" t="s">
        <v>25</v>
      </c>
      <c r="E316">
        <v>3518.89</v>
      </c>
      <c r="F316">
        <v>48</v>
      </c>
      <c r="G316" t="s">
        <v>26</v>
      </c>
      <c r="H316">
        <v>3441.61</v>
      </c>
      <c r="I316">
        <v>3693.45</v>
      </c>
      <c r="J316" t="s">
        <v>17</v>
      </c>
      <c r="K316">
        <v>0.19</v>
      </c>
      <c r="L316" t="s">
        <v>27</v>
      </c>
      <c r="M316" t="s">
        <v>19</v>
      </c>
      <c r="N316" t="s">
        <v>43</v>
      </c>
    </row>
    <row r="317" spans="2:14" x14ac:dyDescent="0.25">
      <c r="B317" s="1">
        <v>45214</v>
      </c>
      <c r="C317" t="s">
        <v>24</v>
      </c>
      <c r="D317" t="s">
        <v>15</v>
      </c>
      <c r="E317">
        <v>3422.54</v>
      </c>
      <c r="F317">
        <v>44</v>
      </c>
      <c r="G317" t="s">
        <v>26</v>
      </c>
      <c r="H317">
        <v>1485.72</v>
      </c>
      <c r="I317">
        <v>1717.97</v>
      </c>
      <c r="J317" t="s">
        <v>30</v>
      </c>
      <c r="K317">
        <v>0.02</v>
      </c>
      <c r="L317" t="s">
        <v>31</v>
      </c>
      <c r="M317" t="s">
        <v>22</v>
      </c>
      <c r="N317" t="s">
        <v>45</v>
      </c>
    </row>
    <row r="318" spans="2:14" x14ac:dyDescent="0.25">
      <c r="B318" s="1">
        <v>45192</v>
      </c>
      <c r="C318" t="s">
        <v>33</v>
      </c>
      <c r="D318" t="s">
        <v>15</v>
      </c>
      <c r="E318">
        <v>9787.4</v>
      </c>
      <c r="F318">
        <v>40</v>
      </c>
      <c r="G318" t="s">
        <v>16</v>
      </c>
      <c r="H318">
        <v>1047.25</v>
      </c>
      <c r="I318">
        <v>1075.8900000000001</v>
      </c>
      <c r="J318" t="s">
        <v>30</v>
      </c>
      <c r="K318">
        <v>0.28000000000000003</v>
      </c>
      <c r="L318" t="s">
        <v>31</v>
      </c>
      <c r="M318" t="s">
        <v>22</v>
      </c>
      <c r="N318" t="s">
        <v>53</v>
      </c>
    </row>
    <row r="319" spans="2:14" x14ac:dyDescent="0.25">
      <c r="B319" s="1">
        <v>45292</v>
      </c>
      <c r="C319" t="s">
        <v>42</v>
      </c>
      <c r="D319" t="s">
        <v>21</v>
      </c>
      <c r="E319">
        <v>8579.7199999999993</v>
      </c>
      <c r="F319">
        <v>24</v>
      </c>
      <c r="G319" t="s">
        <v>35</v>
      </c>
      <c r="H319">
        <v>1362.78</v>
      </c>
      <c r="I319">
        <v>1729.81</v>
      </c>
      <c r="J319" t="s">
        <v>30</v>
      </c>
      <c r="K319">
        <v>0.28999999999999998</v>
      </c>
      <c r="L319" t="s">
        <v>27</v>
      </c>
      <c r="M319" t="s">
        <v>19</v>
      </c>
      <c r="N319" t="s">
        <v>51</v>
      </c>
    </row>
    <row r="320" spans="2:14" x14ac:dyDescent="0.25">
      <c r="B320" s="1">
        <v>45088</v>
      </c>
      <c r="C320" t="s">
        <v>42</v>
      </c>
      <c r="D320" t="s">
        <v>15</v>
      </c>
      <c r="E320">
        <v>7041.58</v>
      </c>
      <c r="F320">
        <v>17</v>
      </c>
      <c r="G320" t="s">
        <v>16</v>
      </c>
      <c r="H320">
        <v>890.31</v>
      </c>
      <c r="I320">
        <v>1159.06</v>
      </c>
      <c r="J320" t="s">
        <v>17</v>
      </c>
      <c r="K320">
        <v>0.06</v>
      </c>
      <c r="L320" t="s">
        <v>18</v>
      </c>
      <c r="M320" t="s">
        <v>22</v>
      </c>
      <c r="N320" t="s">
        <v>49</v>
      </c>
    </row>
    <row r="321" spans="2:14" x14ac:dyDescent="0.25">
      <c r="B321" s="1">
        <v>45013</v>
      </c>
      <c r="C321" t="s">
        <v>33</v>
      </c>
      <c r="D321" t="s">
        <v>15</v>
      </c>
      <c r="E321">
        <v>7297.86</v>
      </c>
      <c r="F321">
        <v>7</v>
      </c>
      <c r="G321" t="s">
        <v>29</v>
      </c>
      <c r="H321">
        <v>523.41999999999996</v>
      </c>
      <c r="I321">
        <v>632.43999999999903</v>
      </c>
      <c r="J321" t="s">
        <v>30</v>
      </c>
      <c r="K321">
        <v>0.2</v>
      </c>
      <c r="L321" t="s">
        <v>27</v>
      </c>
      <c r="M321" t="s">
        <v>19</v>
      </c>
      <c r="N321" t="s">
        <v>53</v>
      </c>
    </row>
    <row r="322" spans="2:14" x14ac:dyDescent="0.25">
      <c r="B322" s="1">
        <v>44981</v>
      </c>
      <c r="C322" t="s">
        <v>42</v>
      </c>
      <c r="D322" t="s">
        <v>15</v>
      </c>
      <c r="E322">
        <v>5664.52</v>
      </c>
      <c r="F322">
        <v>43</v>
      </c>
      <c r="G322" t="s">
        <v>26</v>
      </c>
      <c r="H322">
        <v>2124.7199999999998</v>
      </c>
      <c r="I322">
        <v>2188.66</v>
      </c>
      <c r="J322" t="s">
        <v>17</v>
      </c>
      <c r="K322">
        <v>0.03</v>
      </c>
      <c r="L322" t="s">
        <v>31</v>
      </c>
      <c r="M322" t="s">
        <v>22</v>
      </c>
      <c r="N322" t="s">
        <v>49</v>
      </c>
    </row>
    <row r="323" spans="2:14" x14ac:dyDescent="0.25">
      <c r="B323" s="1">
        <v>45214</v>
      </c>
      <c r="C323" t="s">
        <v>24</v>
      </c>
      <c r="D323" t="s">
        <v>15</v>
      </c>
      <c r="E323">
        <v>9476.2000000000007</v>
      </c>
      <c r="F323">
        <v>1</v>
      </c>
      <c r="G323" t="s">
        <v>16</v>
      </c>
      <c r="H323">
        <v>610.83000000000004</v>
      </c>
      <c r="I323">
        <v>808.69</v>
      </c>
      <c r="J323" t="s">
        <v>30</v>
      </c>
      <c r="K323">
        <v>0.22</v>
      </c>
      <c r="L323" t="s">
        <v>31</v>
      </c>
      <c r="M323" t="s">
        <v>19</v>
      </c>
      <c r="N323" t="s">
        <v>45</v>
      </c>
    </row>
    <row r="324" spans="2:14" x14ac:dyDescent="0.25">
      <c r="B324" s="1">
        <v>45104</v>
      </c>
      <c r="C324" t="s">
        <v>38</v>
      </c>
      <c r="D324" t="s">
        <v>21</v>
      </c>
      <c r="E324">
        <v>5012.96</v>
      </c>
      <c r="F324">
        <v>35</v>
      </c>
      <c r="G324" t="s">
        <v>16</v>
      </c>
      <c r="H324">
        <v>900.97</v>
      </c>
      <c r="I324">
        <v>1321.18</v>
      </c>
      <c r="J324" t="s">
        <v>17</v>
      </c>
      <c r="K324">
        <v>0.1</v>
      </c>
      <c r="L324" t="s">
        <v>18</v>
      </c>
      <c r="M324" t="s">
        <v>19</v>
      </c>
      <c r="N324" t="s">
        <v>41</v>
      </c>
    </row>
    <row r="325" spans="2:14" x14ac:dyDescent="0.25">
      <c r="B325" s="1">
        <v>45275</v>
      </c>
      <c r="C325" t="s">
        <v>42</v>
      </c>
      <c r="D325" t="s">
        <v>15</v>
      </c>
      <c r="E325">
        <v>3867.13</v>
      </c>
      <c r="F325">
        <v>32</v>
      </c>
      <c r="G325" t="s">
        <v>26</v>
      </c>
      <c r="H325">
        <v>2759.26</v>
      </c>
      <c r="I325">
        <v>3193.25</v>
      </c>
      <c r="J325" t="s">
        <v>30</v>
      </c>
      <c r="K325">
        <v>0.2</v>
      </c>
      <c r="L325" t="s">
        <v>27</v>
      </c>
      <c r="M325" t="s">
        <v>19</v>
      </c>
      <c r="N325" t="s">
        <v>49</v>
      </c>
    </row>
    <row r="326" spans="2:14" x14ac:dyDescent="0.25">
      <c r="B326" s="1">
        <v>44934</v>
      </c>
      <c r="C326" t="s">
        <v>24</v>
      </c>
      <c r="D326" t="s">
        <v>34</v>
      </c>
      <c r="E326">
        <v>1714.05</v>
      </c>
      <c r="F326">
        <v>36</v>
      </c>
      <c r="G326" t="s">
        <v>26</v>
      </c>
      <c r="H326">
        <v>864.77</v>
      </c>
      <c r="I326">
        <v>1170.1599999999901</v>
      </c>
      <c r="J326" t="s">
        <v>17</v>
      </c>
      <c r="K326">
        <v>0.11</v>
      </c>
      <c r="L326" t="s">
        <v>18</v>
      </c>
      <c r="M326" t="s">
        <v>22</v>
      </c>
      <c r="N326" t="s">
        <v>50</v>
      </c>
    </row>
    <row r="327" spans="2:14" x14ac:dyDescent="0.25">
      <c r="B327" s="1">
        <v>45247</v>
      </c>
      <c r="C327" t="s">
        <v>14</v>
      </c>
      <c r="D327" t="s">
        <v>34</v>
      </c>
      <c r="E327">
        <v>7883.44</v>
      </c>
      <c r="F327">
        <v>13</v>
      </c>
      <c r="G327" t="s">
        <v>26</v>
      </c>
      <c r="H327">
        <v>366.2</v>
      </c>
      <c r="I327">
        <v>732.69</v>
      </c>
      <c r="J327" t="s">
        <v>30</v>
      </c>
      <c r="K327">
        <v>0.04</v>
      </c>
      <c r="L327" t="s">
        <v>18</v>
      </c>
      <c r="M327" t="s">
        <v>22</v>
      </c>
      <c r="N327" t="s">
        <v>46</v>
      </c>
    </row>
    <row r="328" spans="2:14" x14ac:dyDescent="0.25">
      <c r="B328" s="1">
        <v>45239</v>
      </c>
      <c r="C328" t="s">
        <v>24</v>
      </c>
      <c r="D328" t="s">
        <v>34</v>
      </c>
      <c r="E328">
        <v>7370.99</v>
      </c>
      <c r="F328">
        <v>6</v>
      </c>
      <c r="G328" t="s">
        <v>29</v>
      </c>
      <c r="H328">
        <v>1621.07</v>
      </c>
      <c r="I328">
        <v>1687.5</v>
      </c>
      <c r="J328" t="s">
        <v>17</v>
      </c>
      <c r="K328">
        <v>0.12</v>
      </c>
      <c r="L328" t="s">
        <v>31</v>
      </c>
      <c r="M328" t="s">
        <v>19</v>
      </c>
      <c r="N328" t="s">
        <v>50</v>
      </c>
    </row>
    <row r="329" spans="2:14" x14ac:dyDescent="0.25">
      <c r="B329" s="1">
        <v>45173</v>
      </c>
      <c r="C329" t="s">
        <v>38</v>
      </c>
      <c r="D329" t="s">
        <v>34</v>
      </c>
      <c r="E329">
        <v>3905.11</v>
      </c>
      <c r="F329">
        <v>14</v>
      </c>
      <c r="G329" t="s">
        <v>26</v>
      </c>
      <c r="H329">
        <v>1140.58</v>
      </c>
      <c r="I329">
        <v>1438.76</v>
      </c>
      <c r="J329" t="s">
        <v>17</v>
      </c>
      <c r="K329">
        <v>0.03</v>
      </c>
      <c r="L329" t="s">
        <v>27</v>
      </c>
      <c r="M329" t="s">
        <v>19</v>
      </c>
      <c r="N329" t="s">
        <v>48</v>
      </c>
    </row>
    <row r="330" spans="2:14" x14ac:dyDescent="0.25">
      <c r="B330" s="1">
        <v>45249</v>
      </c>
      <c r="C330" t="s">
        <v>24</v>
      </c>
      <c r="D330" t="s">
        <v>15</v>
      </c>
      <c r="E330">
        <v>349.41</v>
      </c>
      <c r="F330">
        <v>37</v>
      </c>
      <c r="G330" t="s">
        <v>35</v>
      </c>
      <c r="H330">
        <v>2600.7600000000002</v>
      </c>
      <c r="I330">
        <v>2937.57</v>
      </c>
      <c r="J330" t="s">
        <v>30</v>
      </c>
      <c r="K330">
        <v>0.17</v>
      </c>
      <c r="L330" t="s">
        <v>31</v>
      </c>
      <c r="M330" t="s">
        <v>22</v>
      </c>
      <c r="N330" t="s">
        <v>45</v>
      </c>
    </row>
    <row r="331" spans="2:14" x14ac:dyDescent="0.25">
      <c r="B331" s="1">
        <v>45181</v>
      </c>
      <c r="C331" t="s">
        <v>33</v>
      </c>
      <c r="D331" t="s">
        <v>34</v>
      </c>
      <c r="E331">
        <v>8406.07</v>
      </c>
      <c r="F331">
        <v>48</v>
      </c>
      <c r="G331" t="s">
        <v>16</v>
      </c>
      <c r="H331">
        <v>556.72</v>
      </c>
      <c r="I331">
        <v>665.07</v>
      </c>
      <c r="J331" t="s">
        <v>17</v>
      </c>
      <c r="K331">
        <v>0.01</v>
      </c>
      <c r="L331" t="s">
        <v>27</v>
      </c>
      <c r="M331" t="s">
        <v>22</v>
      </c>
      <c r="N331" t="s">
        <v>36</v>
      </c>
    </row>
    <row r="332" spans="2:14" x14ac:dyDescent="0.25">
      <c r="B332" s="1">
        <v>45254</v>
      </c>
      <c r="C332" t="s">
        <v>38</v>
      </c>
      <c r="D332" t="s">
        <v>15</v>
      </c>
      <c r="E332">
        <v>213.04</v>
      </c>
      <c r="F332">
        <v>15</v>
      </c>
      <c r="G332" t="s">
        <v>26</v>
      </c>
      <c r="H332">
        <v>3771.27</v>
      </c>
      <c r="I332">
        <v>4212.55</v>
      </c>
      <c r="J332" t="s">
        <v>17</v>
      </c>
      <c r="K332">
        <v>0.16</v>
      </c>
      <c r="L332" t="s">
        <v>31</v>
      </c>
      <c r="M332" t="s">
        <v>22</v>
      </c>
      <c r="N332" t="s">
        <v>40</v>
      </c>
    </row>
    <row r="333" spans="2:14" x14ac:dyDescent="0.25">
      <c r="B333" s="1">
        <v>44980</v>
      </c>
      <c r="C333" t="s">
        <v>14</v>
      </c>
      <c r="D333" t="s">
        <v>21</v>
      </c>
      <c r="E333">
        <v>7066.63</v>
      </c>
      <c r="F333">
        <v>47</v>
      </c>
      <c r="G333" t="s">
        <v>26</v>
      </c>
      <c r="H333">
        <v>4535.8599999999997</v>
      </c>
      <c r="I333">
        <v>4641.41</v>
      </c>
      <c r="J333" t="s">
        <v>30</v>
      </c>
      <c r="K333">
        <v>0.27</v>
      </c>
      <c r="L333" t="s">
        <v>31</v>
      </c>
      <c r="M333" t="s">
        <v>22</v>
      </c>
      <c r="N333" t="s">
        <v>23</v>
      </c>
    </row>
    <row r="334" spans="2:14" x14ac:dyDescent="0.25">
      <c r="B334" s="1">
        <v>45175</v>
      </c>
      <c r="C334" t="s">
        <v>33</v>
      </c>
      <c r="D334" t="s">
        <v>34</v>
      </c>
      <c r="E334">
        <v>9705.5499999999993</v>
      </c>
      <c r="F334">
        <v>4</v>
      </c>
      <c r="G334" t="s">
        <v>29</v>
      </c>
      <c r="H334">
        <v>3730</v>
      </c>
      <c r="I334">
        <v>3893.6</v>
      </c>
      <c r="J334" t="s">
        <v>30</v>
      </c>
      <c r="K334">
        <v>0.25</v>
      </c>
      <c r="L334" t="s">
        <v>27</v>
      </c>
      <c r="M334" t="s">
        <v>22</v>
      </c>
      <c r="N334" t="s">
        <v>36</v>
      </c>
    </row>
    <row r="335" spans="2:14" x14ac:dyDescent="0.25">
      <c r="B335" s="1">
        <v>45165</v>
      </c>
      <c r="C335" t="s">
        <v>24</v>
      </c>
      <c r="D335" t="s">
        <v>25</v>
      </c>
      <c r="E335">
        <v>4432.8500000000004</v>
      </c>
      <c r="F335">
        <v>40</v>
      </c>
      <c r="G335" t="s">
        <v>29</v>
      </c>
      <c r="H335">
        <v>2687.49</v>
      </c>
      <c r="I335">
        <v>3001.56</v>
      </c>
      <c r="J335" t="s">
        <v>17</v>
      </c>
      <c r="K335">
        <v>0.26</v>
      </c>
      <c r="L335" t="s">
        <v>27</v>
      </c>
      <c r="M335" t="s">
        <v>19</v>
      </c>
      <c r="N335" t="s">
        <v>28</v>
      </c>
    </row>
    <row r="336" spans="2:14" x14ac:dyDescent="0.25">
      <c r="B336" s="1">
        <v>45155</v>
      </c>
      <c r="C336" t="s">
        <v>38</v>
      </c>
      <c r="D336" t="s">
        <v>34</v>
      </c>
      <c r="E336">
        <v>2426.2399999999998</v>
      </c>
      <c r="F336">
        <v>16</v>
      </c>
      <c r="G336" t="s">
        <v>16</v>
      </c>
      <c r="H336">
        <v>4310.3100000000004</v>
      </c>
      <c r="I336">
        <v>4633.1000000000004</v>
      </c>
      <c r="J336" t="s">
        <v>30</v>
      </c>
      <c r="K336">
        <v>0.28000000000000003</v>
      </c>
      <c r="L336" t="s">
        <v>31</v>
      </c>
      <c r="M336" t="s">
        <v>22</v>
      </c>
      <c r="N336" t="s">
        <v>48</v>
      </c>
    </row>
    <row r="337" spans="2:14" x14ac:dyDescent="0.25">
      <c r="B337" s="1">
        <v>44993</v>
      </c>
      <c r="C337" t="s">
        <v>14</v>
      </c>
      <c r="D337" t="s">
        <v>34</v>
      </c>
      <c r="E337">
        <v>7078.22</v>
      </c>
      <c r="F337">
        <v>28</v>
      </c>
      <c r="G337" t="s">
        <v>35</v>
      </c>
      <c r="H337">
        <v>3489.85</v>
      </c>
      <c r="I337">
        <v>3842.5499999999902</v>
      </c>
      <c r="J337" t="s">
        <v>30</v>
      </c>
      <c r="K337">
        <v>0.03</v>
      </c>
      <c r="L337" t="s">
        <v>27</v>
      </c>
      <c r="M337" t="s">
        <v>19</v>
      </c>
      <c r="N337" t="s">
        <v>46</v>
      </c>
    </row>
    <row r="338" spans="2:14" x14ac:dyDescent="0.25">
      <c r="B338" s="1">
        <v>44977</v>
      </c>
      <c r="C338" t="s">
        <v>33</v>
      </c>
      <c r="D338" t="s">
        <v>15</v>
      </c>
      <c r="E338">
        <v>8189.57</v>
      </c>
      <c r="F338">
        <v>16</v>
      </c>
      <c r="G338" t="s">
        <v>16</v>
      </c>
      <c r="H338">
        <v>102.23</v>
      </c>
      <c r="I338">
        <v>167.12</v>
      </c>
      <c r="J338" t="s">
        <v>30</v>
      </c>
      <c r="K338">
        <v>0.04</v>
      </c>
      <c r="L338" t="s">
        <v>31</v>
      </c>
      <c r="M338" t="s">
        <v>22</v>
      </c>
      <c r="N338" t="s">
        <v>53</v>
      </c>
    </row>
    <row r="339" spans="2:14" x14ac:dyDescent="0.25">
      <c r="B339" s="1">
        <v>45023</v>
      </c>
      <c r="C339" t="s">
        <v>14</v>
      </c>
      <c r="D339" t="s">
        <v>34</v>
      </c>
      <c r="E339">
        <v>5509.66</v>
      </c>
      <c r="F339">
        <v>4</v>
      </c>
      <c r="G339" t="s">
        <v>26</v>
      </c>
      <c r="H339">
        <v>2000.75</v>
      </c>
      <c r="I339">
        <v>2426.9899999999998</v>
      </c>
      <c r="J339" t="s">
        <v>17</v>
      </c>
      <c r="K339">
        <v>0.17</v>
      </c>
      <c r="L339" t="s">
        <v>27</v>
      </c>
      <c r="M339" t="s">
        <v>19</v>
      </c>
      <c r="N339" t="s">
        <v>46</v>
      </c>
    </row>
    <row r="340" spans="2:14" x14ac:dyDescent="0.25">
      <c r="B340" s="1">
        <v>45018</v>
      </c>
      <c r="C340" t="s">
        <v>24</v>
      </c>
      <c r="D340" t="s">
        <v>25</v>
      </c>
      <c r="E340">
        <v>9673.65</v>
      </c>
      <c r="F340">
        <v>45</v>
      </c>
      <c r="G340" t="s">
        <v>35</v>
      </c>
      <c r="H340">
        <v>4262.21</v>
      </c>
      <c r="I340">
        <v>4533.3100000000004</v>
      </c>
      <c r="J340" t="s">
        <v>17</v>
      </c>
      <c r="K340">
        <v>0.27</v>
      </c>
      <c r="L340" t="s">
        <v>31</v>
      </c>
      <c r="M340" t="s">
        <v>19</v>
      </c>
      <c r="N340" t="s">
        <v>28</v>
      </c>
    </row>
    <row r="341" spans="2:14" x14ac:dyDescent="0.25">
      <c r="B341" s="1">
        <v>45190</v>
      </c>
      <c r="C341" t="s">
        <v>14</v>
      </c>
      <c r="D341" t="s">
        <v>15</v>
      </c>
      <c r="E341">
        <v>611.52</v>
      </c>
      <c r="F341">
        <v>26</v>
      </c>
      <c r="G341" t="s">
        <v>35</v>
      </c>
      <c r="H341">
        <v>1762</v>
      </c>
      <c r="I341">
        <v>2002.95</v>
      </c>
      <c r="J341" t="s">
        <v>17</v>
      </c>
      <c r="K341">
        <v>0.28999999999999998</v>
      </c>
      <c r="L341" t="s">
        <v>31</v>
      </c>
      <c r="M341" t="s">
        <v>22</v>
      </c>
      <c r="N341" t="s">
        <v>20</v>
      </c>
    </row>
    <row r="342" spans="2:14" x14ac:dyDescent="0.25">
      <c r="B342" s="1">
        <v>45217</v>
      </c>
      <c r="C342" t="s">
        <v>42</v>
      </c>
      <c r="D342" t="s">
        <v>15</v>
      </c>
      <c r="E342">
        <v>5097.4799999999996</v>
      </c>
      <c r="F342">
        <v>28</v>
      </c>
      <c r="G342" t="s">
        <v>35</v>
      </c>
      <c r="H342">
        <v>224.32</v>
      </c>
      <c r="I342">
        <v>715.06</v>
      </c>
      <c r="J342" t="s">
        <v>17</v>
      </c>
      <c r="K342">
        <v>0.01</v>
      </c>
      <c r="L342" t="s">
        <v>31</v>
      </c>
      <c r="M342" t="s">
        <v>19</v>
      </c>
      <c r="N342" t="s">
        <v>49</v>
      </c>
    </row>
    <row r="343" spans="2:14" x14ac:dyDescent="0.25">
      <c r="B343" s="1">
        <v>45022</v>
      </c>
      <c r="C343" t="s">
        <v>33</v>
      </c>
      <c r="D343" t="s">
        <v>21</v>
      </c>
      <c r="E343">
        <v>7212.69</v>
      </c>
      <c r="F343">
        <v>32</v>
      </c>
      <c r="G343" t="s">
        <v>35</v>
      </c>
      <c r="H343">
        <v>3743.59</v>
      </c>
      <c r="I343">
        <v>4116.38</v>
      </c>
      <c r="J343" t="s">
        <v>17</v>
      </c>
      <c r="K343">
        <v>0.11</v>
      </c>
      <c r="L343" t="s">
        <v>18</v>
      </c>
      <c r="M343" t="s">
        <v>19</v>
      </c>
      <c r="N343" t="s">
        <v>37</v>
      </c>
    </row>
    <row r="344" spans="2:14" x14ac:dyDescent="0.25">
      <c r="B344" s="1">
        <v>45014</v>
      </c>
      <c r="C344" t="s">
        <v>14</v>
      </c>
      <c r="D344" t="s">
        <v>21</v>
      </c>
      <c r="E344">
        <v>8640.14</v>
      </c>
      <c r="F344">
        <v>45</v>
      </c>
      <c r="G344" t="s">
        <v>16</v>
      </c>
      <c r="H344">
        <v>4020.09</v>
      </c>
      <c r="I344">
        <v>4087.91</v>
      </c>
      <c r="J344" t="s">
        <v>17</v>
      </c>
      <c r="K344">
        <v>0.06</v>
      </c>
      <c r="L344" t="s">
        <v>27</v>
      </c>
      <c r="M344" t="s">
        <v>19</v>
      </c>
      <c r="N344" t="s">
        <v>23</v>
      </c>
    </row>
    <row r="345" spans="2:14" x14ac:dyDescent="0.25">
      <c r="B345" s="1">
        <v>45004</v>
      </c>
      <c r="C345" t="s">
        <v>24</v>
      </c>
      <c r="D345" t="s">
        <v>34</v>
      </c>
      <c r="E345">
        <v>1874.63</v>
      </c>
      <c r="F345">
        <v>2</v>
      </c>
      <c r="G345" t="s">
        <v>29</v>
      </c>
      <c r="H345">
        <v>844.94</v>
      </c>
      <c r="I345">
        <v>1225.6400000000001</v>
      </c>
      <c r="J345" t="s">
        <v>17</v>
      </c>
      <c r="K345">
        <v>0.23</v>
      </c>
      <c r="L345" t="s">
        <v>31</v>
      </c>
      <c r="M345" t="s">
        <v>19</v>
      </c>
      <c r="N345" t="s">
        <v>50</v>
      </c>
    </row>
    <row r="346" spans="2:14" x14ac:dyDescent="0.25">
      <c r="B346" s="1">
        <v>45214</v>
      </c>
      <c r="C346" t="s">
        <v>24</v>
      </c>
      <c r="D346" t="s">
        <v>21</v>
      </c>
      <c r="E346">
        <v>8020.03</v>
      </c>
      <c r="F346">
        <v>31</v>
      </c>
      <c r="G346" t="s">
        <v>29</v>
      </c>
      <c r="H346">
        <v>2709.84</v>
      </c>
      <c r="I346">
        <v>2766.51</v>
      </c>
      <c r="J346" t="s">
        <v>30</v>
      </c>
      <c r="K346">
        <v>0.19</v>
      </c>
      <c r="L346" t="s">
        <v>18</v>
      </c>
      <c r="M346" t="s">
        <v>22</v>
      </c>
      <c r="N346" t="s">
        <v>47</v>
      </c>
    </row>
    <row r="347" spans="2:14" x14ac:dyDescent="0.25">
      <c r="B347" s="1">
        <v>45046</v>
      </c>
      <c r="C347" t="s">
        <v>14</v>
      </c>
      <c r="D347" t="s">
        <v>21</v>
      </c>
      <c r="E347">
        <v>5571.8</v>
      </c>
      <c r="F347">
        <v>3</v>
      </c>
      <c r="G347" t="s">
        <v>26</v>
      </c>
      <c r="H347">
        <v>1000.18</v>
      </c>
      <c r="I347">
        <v>1023.64</v>
      </c>
      <c r="J347" t="s">
        <v>17</v>
      </c>
      <c r="K347">
        <v>0.04</v>
      </c>
      <c r="L347" t="s">
        <v>31</v>
      </c>
      <c r="M347" t="s">
        <v>19</v>
      </c>
      <c r="N347" t="s">
        <v>23</v>
      </c>
    </row>
    <row r="348" spans="2:14" x14ac:dyDescent="0.25">
      <c r="B348" s="1">
        <v>45228</v>
      </c>
      <c r="C348" t="s">
        <v>24</v>
      </c>
      <c r="D348" t="s">
        <v>21</v>
      </c>
      <c r="E348">
        <v>4025.88</v>
      </c>
      <c r="F348">
        <v>8</v>
      </c>
      <c r="G348" t="s">
        <v>29</v>
      </c>
      <c r="H348">
        <v>3610.21</v>
      </c>
      <c r="I348">
        <v>3817.99</v>
      </c>
      <c r="J348" t="s">
        <v>17</v>
      </c>
      <c r="K348">
        <v>0.15</v>
      </c>
      <c r="L348" t="s">
        <v>18</v>
      </c>
      <c r="M348" t="s">
        <v>22</v>
      </c>
      <c r="N348" t="s">
        <v>47</v>
      </c>
    </row>
    <row r="349" spans="2:14" x14ac:dyDescent="0.25">
      <c r="B349" s="1">
        <v>45091</v>
      </c>
      <c r="C349" t="s">
        <v>38</v>
      </c>
      <c r="D349" t="s">
        <v>15</v>
      </c>
      <c r="E349">
        <v>1403.98</v>
      </c>
      <c r="F349">
        <v>24</v>
      </c>
      <c r="G349" t="s">
        <v>29</v>
      </c>
      <c r="H349">
        <v>1394.17</v>
      </c>
      <c r="I349">
        <v>1891.02</v>
      </c>
      <c r="J349" t="s">
        <v>30</v>
      </c>
      <c r="K349">
        <v>0.21</v>
      </c>
      <c r="L349" t="s">
        <v>31</v>
      </c>
      <c r="M349" t="s">
        <v>19</v>
      </c>
      <c r="N349" t="s">
        <v>40</v>
      </c>
    </row>
    <row r="350" spans="2:14" x14ac:dyDescent="0.25">
      <c r="B350" s="1">
        <v>45108</v>
      </c>
      <c r="C350" t="s">
        <v>38</v>
      </c>
      <c r="D350" t="s">
        <v>15</v>
      </c>
      <c r="E350">
        <v>8666.43</v>
      </c>
      <c r="F350">
        <v>15</v>
      </c>
      <c r="G350" t="s">
        <v>29</v>
      </c>
      <c r="H350">
        <v>1615.26</v>
      </c>
      <c r="I350">
        <v>1710.95</v>
      </c>
      <c r="J350" t="s">
        <v>30</v>
      </c>
      <c r="K350">
        <v>0.23</v>
      </c>
      <c r="L350" t="s">
        <v>31</v>
      </c>
      <c r="M350" t="s">
        <v>22</v>
      </c>
      <c r="N350" t="s">
        <v>40</v>
      </c>
    </row>
    <row r="351" spans="2:14" x14ac:dyDescent="0.25">
      <c r="B351" s="1">
        <v>45149</v>
      </c>
      <c r="C351" t="s">
        <v>38</v>
      </c>
      <c r="D351" t="s">
        <v>15</v>
      </c>
      <c r="E351">
        <v>1657</v>
      </c>
      <c r="F351">
        <v>43</v>
      </c>
      <c r="G351" t="s">
        <v>29</v>
      </c>
      <c r="H351">
        <v>4232.6099999999997</v>
      </c>
      <c r="I351">
        <v>4572.21</v>
      </c>
      <c r="J351" t="s">
        <v>30</v>
      </c>
      <c r="K351">
        <v>0.01</v>
      </c>
      <c r="L351" t="s">
        <v>18</v>
      </c>
      <c r="M351" t="s">
        <v>22</v>
      </c>
      <c r="N351" t="s">
        <v>40</v>
      </c>
    </row>
    <row r="352" spans="2:14" x14ac:dyDescent="0.25">
      <c r="B352" s="1">
        <v>45237</v>
      </c>
      <c r="C352" t="s">
        <v>42</v>
      </c>
      <c r="D352" t="s">
        <v>21</v>
      </c>
      <c r="E352">
        <v>3166.9</v>
      </c>
      <c r="F352">
        <v>31</v>
      </c>
      <c r="G352" t="s">
        <v>26</v>
      </c>
      <c r="H352">
        <v>2407.8000000000002</v>
      </c>
      <c r="I352">
        <v>2502.7600000000002</v>
      </c>
      <c r="J352" t="s">
        <v>17</v>
      </c>
      <c r="K352">
        <v>0.27</v>
      </c>
      <c r="L352" t="s">
        <v>18</v>
      </c>
      <c r="M352" t="s">
        <v>22</v>
      </c>
      <c r="N352" t="s">
        <v>51</v>
      </c>
    </row>
    <row r="353" spans="2:14" x14ac:dyDescent="0.25">
      <c r="B353" s="1">
        <v>44933</v>
      </c>
      <c r="C353" t="s">
        <v>14</v>
      </c>
      <c r="D353" t="s">
        <v>15</v>
      </c>
      <c r="E353">
        <v>2971.45</v>
      </c>
      <c r="F353">
        <v>9</v>
      </c>
      <c r="G353" t="s">
        <v>16</v>
      </c>
      <c r="H353">
        <v>3365.28</v>
      </c>
      <c r="I353">
        <v>3730.43</v>
      </c>
      <c r="J353" t="s">
        <v>30</v>
      </c>
      <c r="K353">
        <v>0.17</v>
      </c>
      <c r="L353" t="s">
        <v>27</v>
      </c>
      <c r="M353" t="s">
        <v>19</v>
      </c>
      <c r="N353" t="s">
        <v>20</v>
      </c>
    </row>
    <row r="354" spans="2:14" x14ac:dyDescent="0.25">
      <c r="B354" s="1">
        <v>45256</v>
      </c>
      <c r="C354" t="s">
        <v>42</v>
      </c>
      <c r="D354" t="s">
        <v>21</v>
      </c>
      <c r="E354">
        <v>8727</v>
      </c>
      <c r="F354">
        <v>39</v>
      </c>
      <c r="G354" t="s">
        <v>35</v>
      </c>
      <c r="H354">
        <v>2041.75</v>
      </c>
      <c r="I354">
        <v>2299.37</v>
      </c>
      <c r="J354" t="s">
        <v>17</v>
      </c>
      <c r="K354">
        <v>0.24</v>
      </c>
      <c r="L354" t="s">
        <v>27</v>
      </c>
      <c r="M354" t="s">
        <v>22</v>
      </c>
      <c r="N354" t="s">
        <v>51</v>
      </c>
    </row>
    <row r="355" spans="2:14" x14ac:dyDescent="0.25">
      <c r="B355" s="1">
        <v>45189</v>
      </c>
      <c r="C355" t="s">
        <v>24</v>
      </c>
      <c r="D355" t="s">
        <v>15</v>
      </c>
      <c r="E355">
        <v>6759.76</v>
      </c>
      <c r="F355">
        <v>45</v>
      </c>
      <c r="G355" t="s">
        <v>29</v>
      </c>
      <c r="H355">
        <v>1525.13</v>
      </c>
      <c r="I355">
        <v>1868.32</v>
      </c>
      <c r="J355" t="s">
        <v>17</v>
      </c>
      <c r="K355">
        <v>0.24</v>
      </c>
      <c r="L355" t="s">
        <v>18</v>
      </c>
      <c r="M355" t="s">
        <v>22</v>
      </c>
      <c r="N355" t="s">
        <v>45</v>
      </c>
    </row>
    <row r="356" spans="2:14" x14ac:dyDescent="0.25">
      <c r="B356" s="1">
        <v>45087</v>
      </c>
      <c r="C356" t="s">
        <v>42</v>
      </c>
      <c r="D356" t="s">
        <v>15</v>
      </c>
      <c r="E356">
        <v>7987.15</v>
      </c>
      <c r="F356">
        <v>2</v>
      </c>
      <c r="G356" t="s">
        <v>16</v>
      </c>
      <c r="H356">
        <v>3146.12</v>
      </c>
      <c r="I356">
        <v>3255.5299999999902</v>
      </c>
      <c r="J356" t="s">
        <v>17</v>
      </c>
      <c r="K356">
        <v>0.06</v>
      </c>
      <c r="L356" t="s">
        <v>27</v>
      </c>
      <c r="M356" t="s">
        <v>19</v>
      </c>
      <c r="N356" t="s">
        <v>49</v>
      </c>
    </row>
    <row r="357" spans="2:14" x14ac:dyDescent="0.25">
      <c r="B357" s="1">
        <v>45077</v>
      </c>
      <c r="C357" t="s">
        <v>24</v>
      </c>
      <c r="D357" t="s">
        <v>25</v>
      </c>
      <c r="E357">
        <v>2579.63</v>
      </c>
      <c r="F357">
        <v>8</v>
      </c>
      <c r="G357" t="s">
        <v>29</v>
      </c>
      <c r="H357">
        <v>816.54</v>
      </c>
      <c r="I357">
        <v>1191.9000000000001</v>
      </c>
      <c r="J357" t="s">
        <v>30</v>
      </c>
      <c r="K357">
        <v>0.03</v>
      </c>
      <c r="L357" t="s">
        <v>18</v>
      </c>
      <c r="M357" t="s">
        <v>22</v>
      </c>
      <c r="N357" t="s">
        <v>28</v>
      </c>
    </row>
    <row r="358" spans="2:14" x14ac:dyDescent="0.25">
      <c r="B358" s="1">
        <v>45011</v>
      </c>
      <c r="C358" t="s">
        <v>24</v>
      </c>
      <c r="D358" t="s">
        <v>34</v>
      </c>
      <c r="E358">
        <v>6286.25</v>
      </c>
      <c r="F358">
        <v>7</v>
      </c>
      <c r="G358" t="s">
        <v>29</v>
      </c>
      <c r="H358">
        <v>1896.35</v>
      </c>
      <c r="I358">
        <v>2394.1999999999998</v>
      </c>
      <c r="J358" t="s">
        <v>30</v>
      </c>
      <c r="K358">
        <v>0.22</v>
      </c>
      <c r="L358" t="s">
        <v>27</v>
      </c>
      <c r="M358" t="s">
        <v>19</v>
      </c>
      <c r="N358" t="s">
        <v>50</v>
      </c>
    </row>
    <row r="359" spans="2:14" x14ac:dyDescent="0.25">
      <c r="B359" s="1">
        <v>45073</v>
      </c>
      <c r="C359" t="s">
        <v>33</v>
      </c>
      <c r="D359" t="s">
        <v>21</v>
      </c>
      <c r="E359">
        <v>5760.29</v>
      </c>
      <c r="F359">
        <v>44</v>
      </c>
      <c r="G359" t="s">
        <v>35</v>
      </c>
      <c r="H359">
        <v>1084.73</v>
      </c>
      <c r="I359">
        <v>1420.9</v>
      </c>
      <c r="J359" t="s">
        <v>17</v>
      </c>
      <c r="K359">
        <v>0.05</v>
      </c>
      <c r="L359" t="s">
        <v>31</v>
      </c>
      <c r="M359" t="s">
        <v>19</v>
      </c>
      <c r="N359" t="s">
        <v>37</v>
      </c>
    </row>
    <row r="360" spans="2:14" x14ac:dyDescent="0.25">
      <c r="B360" s="1">
        <v>45038</v>
      </c>
      <c r="C360" t="s">
        <v>38</v>
      </c>
      <c r="D360" t="s">
        <v>25</v>
      </c>
      <c r="E360">
        <v>8345.02</v>
      </c>
      <c r="F360">
        <v>39</v>
      </c>
      <c r="G360" t="s">
        <v>35</v>
      </c>
      <c r="H360">
        <v>3494.19</v>
      </c>
      <c r="I360">
        <v>3746</v>
      </c>
      <c r="J360" t="s">
        <v>17</v>
      </c>
      <c r="K360">
        <v>0.25</v>
      </c>
      <c r="L360" t="s">
        <v>27</v>
      </c>
      <c r="M360" t="s">
        <v>22</v>
      </c>
      <c r="N360" t="s">
        <v>39</v>
      </c>
    </row>
    <row r="361" spans="2:14" x14ac:dyDescent="0.25">
      <c r="B361" s="1">
        <v>44962</v>
      </c>
      <c r="C361" t="s">
        <v>24</v>
      </c>
      <c r="D361" t="s">
        <v>15</v>
      </c>
      <c r="E361">
        <v>9070.26</v>
      </c>
      <c r="F361">
        <v>42</v>
      </c>
      <c r="G361" t="s">
        <v>35</v>
      </c>
      <c r="H361">
        <v>4723.83</v>
      </c>
      <c r="I361">
        <v>5186.1899999999996</v>
      </c>
      <c r="J361" t="s">
        <v>17</v>
      </c>
      <c r="K361">
        <v>0.22</v>
      </c>
      <c r="L361" t="s">
        <v>31</v>
      </c>
      <c r="M361" t="s">
        <v>19</v>
      </c>
      <c r="N361" t="s">
        <v>45</v>
      </c>
    </row>
    <row r="362" spans="2:14" x14ac:dyDescent="0.25">
      <c r="B362" s="1">
        <v>45211</v>
      </c>
      <c r="C362" t="s">
        <v>33</v>
      </c>
      <c r="D362" t="s">
        <v>21</v>
      </c>
      <c r="E362">
        <v>220.35</v>
      </c>
      <c r="F362">
        <v>16</v>
      </c>
      <c r="G362" t="s">
        <v>29</v>
      </c>
      <c r="H362">
        <v>4977.78</v>
      </c>
      <c r="I362">
        <v>4995.55</v>
      </c>
      <c r="J362" t="s">
        <v>30</v>
      </c>
      <c r="K362">
        <v>0.25</v>
      </c>
      <c r="L362" t="s">
        <v>31</v>
      </c>
      <c r="M362" t="s">
        <v>19</v>
      </c>
      <c r="N362" t="s">
        <v>37</v>
      </c>
    </row>
    <row r="363" spans="2:14" x14ac:dyDescent="0.25">
      <c r="B363" s="1">
        <v>45114</v>
      </c>
      <c r="C363" t="s">
        <v>38</v>
      </c>
      <c r="D363" t="s">
        <v>15</v>
      </c>
      <c r="E363">
        <v>6772.8</v>
      </c>
      <c r="F363">
        <v>35</v>
      </c>
      <c r="G363" t="s">
        <v>29</v>
      </c>
      <c r="H363">
        <v>2278.87</v>
      </c>
      <c r="I363">
        <v>2646.5299999999902</v>
      </c>
      <c r="J363" t="s">
        <v>17</v>
      </c>
      <c r="K363">
        <v>0.09</v>
      </c>
      <c r="L363" t="s">
        <v>27</v>
      </c>
      <c r="M363" t="s">
        <v>19</v>
      </c>
      <c r="N363" t="s">
        <v>40</v>
      </c>
    </row>
    <row r="364" spans="2:14" x14ac:dyDescent="0.25">
      <c r="B364" s="1">
        <v>45008</v>
      </c>
      <c r="C364" t="s">
        <v>24</v>
      </c>
      <c r="D364" t="s">
        <v>34</v>
      </c>
      <c r="E364">
        <v>613.16999999999996</v>
      </c>
      <c r="F364">
        <v>30</v>
      </c>
      <c r="G364" t="s">
        <v>29</v>
      </c>
      <c r="H364">
        <v>1300.03</v>
      </c>
      <c r="I364">
        <v>1745.52</v>
      </c>
      <c r="J364" t="s">
        <v>30</v>
      </c>
      <c r="K364">
        <v>0.09</v>
      </c>
      <c r="L364" t="s">
        <v>18</v>
      </c>
      <c r="M364" t="s">
        <v>22</v>
      </c>
      <c r="N364" t="s">
        <v>50</v>
      </c>
    </row>
    <row r="365" spans="2:14" x14ac:dyDescent="0.25">
      <c r="B365" s="1">
        <v>44928</v>
      </c>
      <c r="C365" t="s">
        <v>24</v>
      </c>
      <c r="D365" t="s">
        <v>25</v>
      </c>
      <c r="E365">
        <v>5533.7</v>
      </c>
      <c r="F365">
        <v>10</v>
      </c>
      <c r="G365" t="s">
        <v>35</v>
      </c>
      <c r="H365">
        <v>2242.0100000000002</v>
      </c>
      <c r="I365">
        <v>2282.23</v>
      </c>
      <c r="J365" t="s">
        <v>17</v>
      </c>
      <c r="K365">
        <v>0.2</v>
      </c>
      <c r="L365" t="s">
        <v>31</v>
      </c>
      <c r="M365" t="s">
        <v>19</v>
      </c>
      <c r="N365" t="s">
        <v>28</v>
      </c>
    </row>
    <row r="366" spans="2:14" x14ac:dyDescent="0.25">
      <c r="B366" s="1">
        <v>45229</v>
      </c>
      <c r="C366" t="s">
        <v>42</v>
      </c>
      <c r="D366" t="s">
        <v>34</v>
      </c>
      <c r="E366">
        <v>2947.56</v>
      </c>
      <c r="F366">
        <v>38</v>
      </c>
      <c r="G366" t="s">
        <v>26</v>
      </c>
      <c r="H366">
        <v>4243.9799999999996</v>
      </c>
      <c r="I366">
        <v>4474.5099999999902</v>
      </c>
      <c r="J366" t="s">
        <v>30</v>
      </c>
      <c r="K366">
        <v>0.01</v>
      </c>
      <c r="L366" t="s">
        <v>31</v>
      </c>
      <c r="M366" t="s">
        <v>19</v>
      </c>
      <c r="N366" t="s">
        <v>52</v>
      </c>
    </row>
    <row r="367" spans="2:14" x14ac:dyDescent="0.25">
      <c r="B367" s="1">
        <v>45123</v>
      </c>
      <c r="C367" t="s">
        <v>42</v>
      </c>
      <c r="D367" t="s">
        <v>25</v>
      </c>
      <c r="E367">
        <v>3137.09</v>
      </c>
      <c r="F367">
        <v>18</v>
      </c>
      <c r="G367" t="s">
        <v>16</v>
      </c>
      <c r="H367">
        <v>1069.73</v>
      </c>
      <c r="I367">
        <v>1180.04</v>
      </c>
      <c r="J367" t="s">
        <v>17</v>
      </c>
      <c r="K367">
        <v>0.22</v>
      </c>
      <c r="L367" t="s">
        <v>27</v>
      </c>
      <c r="M367" t="s">
        <v>19</v>
      </c>
      <c r="N367" t="s">
        <v>43</v>
      </c>
    </row>
    <row r="368" spans="2:14" x14ac:dyDescent="0.25">
      <c r="B368" s="1">
        <v>44937</v>
      </c>
      <c r="C368" t="s">
        <v>38</v>
      </c>
      <c r="D368" t="s">
        <v>15</v>
      </c>
      <c r="E368">
        <v>3594.29</v>
      </c>
      <c r="F368">
        <v>5</v>
      </c>
      <c r="G368" t="s">
        <v>26</v>
      </c>
      <c r="H368">
        <v>4762.87</v>
      </c>
      <c r="I368">
        <v>5050.46</v>
      </c>
      <c r="J368" t="s">
        <v>30</v>
      </c>
      <c r="K368">
        <v>0.25</v>
      </c>
      <c r="L368" t="s">
        <v>18</v>
      </c>
      <c r="M368" t="s">
        <v>22</v>
      </c>
      <c r="N368" t="s">
        <v>40</v>
      </c>
    </row>
    <row r="369" spans="2:14" x14ac:dyDescent="0.25">
      <c r="B369" s="1">
        <v>45160</v>
      </c>
      <c r="C369" t="s">
        <v>24</v>
      </c>
      <c r="D369" t="s">
        <v>34</v>
      </c>
      <c r="E369">
        <v>6250.8</v>
      </c>
      <c r="F369">
        <v>29</v>
      </c>
      <c r="G369" t="s">
        <v>29</v>
      </c>
      <c r="H369">
        <v>1742.24</v>
      </c>
      <c r="I369">
        <v>2070.52</v>
      </c>
      <c r="J369" t="s">
        <v>30</v>
      </c>
      <c r="K369">
        <v>0.12</v>
      </c>
      <c r="L369" t="s">
        <v>18</v>
      </c>
      <c r="M369" t="s">
        <v>19</v>
      </c>
      <c r="N369" t="s">
        <v>50</v>
      </c>
    </row>
    <row r="370" spans="2:14" x14ac:dyDescent="0.25">
      <c r="B370" s="1">
        <v>45121</v>
      </c>
      <c r="C370" t="s">
        <v>14</v>
      </c>
      <c r="D370" t="s">
        <v>34</v>
      </c>
      <c r="E370">
        <v>3407.09</v>
      </c>
      <c r="F370">
        <v>39</v>
      </c>
      <c r="G370" t="s">
        <v>29</v>
      </c>
      <c r="H370">
        <v>4929.7299999999996</v>
      </c>
      <c r="I370">
        <v>5088.0199999999904</v>
      </c>
      <c r="J370" t="s">
        <v>30</v>
      </c>
      <c r="K370">
        <v>0.23</v>
      </c>
      <c r="L370" t="s">
        <v>27</v>
      </c>
      <c r="M370" t="s">
        <v>22</v>
      </c>
      <c r="N370" t="s">
        <v>46</v>
      </c>
    </row>
    <row r="371" spans="2:14" x14ac:dyDescent="0.25">
      <c r="B371" s="1">
        <v>45045</v>
      </c>
      <c r="C371" t="s">
        <v>42</v>
      </c>
      <c r="D371" t="s">
        <v>15</v>
      </c>
      <c r="E371">
        <v>7353.72</v>
      </c>
      <c r="F371">
        <v>34</v>
      </c>
      <c r="G371" t="s">
        <v>26</v>
      </c>
      <c r="H371">
        <v>4201.1099999999997</v>
      </c>
      <c r="I371">
        <v>4436.5</v>
      </c>
      <c r="J371" t="s">
        <v>30</v>
      </c>
      <c r="K371">
        <v>0.05</v>
      </c>
      <c r="L371" t="s">
        <v>18</v>
      </c>
      <c r="M371" t="s">
        <v>19</v>
      </c>
      <c r="N371" t="s">
        <v>49</v>
      </c>
    </row>
    <row r="372" spans="2:14" x14ac:dyDescent="0.25">
      <c r="B372" s="1">
        <v>44946</v>
      </c>
      <c r="C372" t="s">
        <v>38</v>
      </c>
      <c r="D372" t="s">
        <v>34</v>
      </c>
      <c r="E372">
        <v>4104.82</v>
      </c>
      <c r="F372">
        <v>43</v>
      </c>
      <c r="G372" t="s">
        <v>29</v>
      </c>
      <c r="H372">
        <v>4052.42</v>
      </c>
      <c r="I372">
        <v>4199.3</v>
      </c>
      <c r="J372" t="s">
        <v>30</v>
      </c>
      <c r="K372">
        <v>0.1</v>
      </c>
      <c r="L372" t="s">
        <v>27</v>
      </c>
      <c r="M372" t="s">
        <v>22</v>
      </c>
      <c r="N372" t="s">
        <v>48</v>
      </c>
    </row>
    <row r="373" spans="2:14" x14ac:dyDescent="0.25">
      <c r="B373" s="1">
        <v>45187</v>
      </c>
      <c r="C373" t="s">
        <v>24</v>
      </c>
      <c r="D373" t="s">
        <v>21</v>
      </c>
      <c r="E373">
        <v>776.7</v>
      </c>
      <c r="F373">
        <v>45</v>
      </c>
      <c r="G373" t="s">
        <v>16</v>
      </c>
      <c r="H373">
        <v>1623.63</v>
      </c>
      <c r="I373">
        <v>1814.63</v>
      </c>
      <c r="J373" t="s">
        <v>30</v>
      </c>
      <c r="K373">
        <v>0.28999999999999998</v>
      </c>
      <c r="L373" t="s">
        <v>27</v>
      </c>
      <c r="M373" t="s">
        <v>22</v>
      </c>
      <c r="N373" t="s">
        <v>47</v>
      </c>
    </row>
    <row r="374" spans="2:14" x14ac:dyDescent="0.25">
      <c r="B374" s="1">
        <v>45219</v>
      </c>
      <c r="C374" t="s">
        <v>24</v>
      </c>
      <c r="D374" t="s">
        <v>25</v>
      </c>
      <c r="E374">
        <v>7859.22</v>
      </c>
      <c r="F374">
        <v>23</v>
      </c>
      <c r="G374" t="s">
        <v>29</v>
      </c>
      <c r="H374">
        <v>93.45</v>
      </c>
      <c r="I374">
        <v>181.62</v>
      </c>
      <c r="J374" t="s">
        <v>17</v>
      </c>
      <c r="K374">
        <v>0.3</v>
      </c>
      <c r="L374" t="s">
        <v>27</v>
      </c>
      <c r="M374" t="s">
        <v>22</v>
      </c>
      <c r="N374" t="s">
        <v>28</v>
      </c>
    </row>
    <row r="375" spans="2:14" x14ac:dyDescent="0.25">
      <c r="B375" s="1">
        <v>45182</v>
      </c>
      <c r="C375" t="s">
        <v>14</v>
      </c>
      <c r="D375" t="s">
        <v>25</v>
      </c>
      <c r="E375">
        <v>2929.01</v>
      </c>
      <c r="F375">
        <v>5</v>
      </c>
      <c r="G375" t="s">
        <v>16</v>
      </c>
      <c r="H375">
        <v>1941.56</v>
      </c>
      <c r="I375">
        <v>2385.48</v>
      </c>
      <c r="J375" t="s">
        <v>17</v>
      </c>
      <c r="K375">
        <v>0.15</v>
      </c>
      <c r="L375" t="s">
        <v>31</v>
      </c>
      <c r="M375" t="s">
        <v>19</v>
      </c>
      <c r="N375" t="s">
        <v>32</v>
      </c>
    </row>
    <row r="376" spans="2:14" x14ac:dyDescent="0.25">
      <c r="B376" s="1">
        <v>45148</v>
      </c>
      <c r="C376" t="s">
        <v>38</v>
      </c>
      <c r="D376" t="s">
        <v>25</v>
      </c>
      <c r="E376">
        <v>4384.3900000000003</v>
      </c>
      <c r="F376">
        <v>30</v>
      </c>
      <c r="G376" t="s">
        <v>26</v>
      </c>
      <c r="H376">
        <v>1543.96</v>
      </c>
      <c r="I376">
        <v>1558.87</v>
      </c>
      <c r="J376" t="s">
        <v>17</v>
      </c>
      <c r="K376">
        <v>0.28000000000000003</v>
      </c>
      <c r="L376" t="s">
        <v>31</v>
      </c>
      <c r="M376" t="s">
        <v>19</v>
      </c>
      <c r="N376" t="s">
        <v>39</v>
      </c>
    </row>
    <row r="377" spans="2:14" x14ac:dyDescent="0.25">
      <c r="B377" s="1">
        <v>45152</v>
      </c>
      <c r="C377" t="s">
        <v>24</v>
      </c>
      <c r="D377" t="s">
        <v>21</v>
      </c>
      <c r="E377">
        <v>6885.89</v>
      </c>
      <c r="F377">
        <v>6</v>
      </c>
      <c r="G377" t="s">
        <v>26</v>
      </c>
      <c r="H377">
        <v>235.12</v>
      </c>
      <c r="I377">
        <v>677.5</v>
      </c>
      <c r="J377" t="s">
        <v>17</v>
      </c>
      <c r="K377">
        <v>0.16</v>
      </c>
      <c r="L377" t="s">
        <v>31</v>
      </c>
      <c r="M377" t="s">
        <v>19</v>
      </c>
      <c r="N377" t="s">
        <v>47</v>
      </c>
    </row>
    <row r="378" spans="2:14" x14ac:dyDescent="0.25">
      <c r="B378" s="1">
        <v>44979</v>
      </c>
      <c r="C378" t="s">
        <v>42</v>
      </c>
      <c r="D378" t="s">
        <v>25</v>
      </c>
      <c r="E378">
        <v>3391.32</v>
      </c>
      <c r="F378">
        <v>46</v>
      </c>
      <c r="G378" t="s">
        <v>29</v>
      </c>
      <c r="H378">
        <v>2551.56</v>
      </c>
      <c r="I378">
        <v>2841.68</v>
      </c>
      <c r="J378" t="s">
        <v>30</v>
      </c>
      <c r="K378">
        <v>0.09</v>
      </c>
      <c r="L378" t="s">
        <v>27</v>
      </c>
      <c r="M378" t="s">
        <v>22</v>
      </c>
      <c r="N378" t="s">
        <v>43</v>
      </c>
    </row>
    <row r="379" spans="2:14" x14ac:dyDescent="0.25">
      <c r="B379" s="1">
        <v>45281</v>
      </c>
      <c r="C379" t="s">
        <v>14</v>
      </c>
      <c r="D379" t="s">
        <v>15</v>
      </c>
      <c r="E379">
        <v>660.2</v>
      </c>
      <c r="F379">
        <v>44</v>
      </c>
      <c r="G379" t="s">
        <v>16</v>
      </c>
      <c r="H379">
        <v>2045</v>
      </c>
      <c r="I379">
        <v>2217.5100000000002</v>
      </c>
      <c r="J379" t="s">
        <v>17</v>
      </c>
      <c r="K379">
        <v>0.08</v>
      </c>
      <c r="L379" t="s">
        <v>31</v>
      </c>
      <c r="M379" t="s">
        <v>19</v>
      </c>
      <c r="N379" t="s">
        <v>20</v>
      </c>
    </row>
    <row r="380" spans="2:14" x14ac:dyDescent="0.25">
      <c r="B380" s="1">
        <v>45268</v>
      </c>
      <c r="C380" t="s">
        <v>38</v>
      </c>
      <c r="D380" t="s">
        <v>34</v>
      </c>
      <c r="E380">
        <v>3801.82</v>
      </c>
      <c r="F380">
        <v>4</v>
      </c>
      <c r="G380" t="s">
        <v>29</v>
      </c>
      <c r="H380">
        <v>3191.05</v>
      </c>
      <c r="I380">
        <v>3555.35</v>
      </c>
      <c r="J380" t="s">
        <v>30</v>
      </c>
      <c r="K380">
        <v>0.28000000000000003</v>
      </c>
      <c r="L380" t="s">
        <v>31</v>
      </c>
      <c r="M380" t="s">
        <v>19</v>
      </c>
      <c r="N380" t="s">
        <v>48</v>
      </c>
    </row>
    <row r="381" spans="2:14" x14ac:dyDescent="0.25">
      <c r="B381" s="1">
        <v>45290</v>
      </c>
      <c r="C381" t="s">
        <v>14</v>
      </c>
      <c r="D381" t="s">
        <v>21</v>
      </c>
      <c r="E381">
        <v>9450.0400000000009</v>
      </c>
      <c r="F381">
        <v>29</v>
      </c>
      <c r="G381" t="s">
        <v>35</v>
      </c>
      <c r="H381">
        <v>3124.87</v>
      </c>
      <c r="I381">
        <v>3383.67</v>
      </c>
      <c r="J381" t="s">
        <v>30</v>
      </c>
      <c r="K381">
        <v>0.05</v>
      </c>
      <c r="L381" t="s">
        <v>31</v>
      </c>
      <c r="M381" t="s">
        <v>22</v>
      </c>
      <c r="N381" t="s">
        <v>23</v>
      </c>
    </row>
    <row r="382" spans="2:14" x14ac:dyDescent="0.25">
      <c r="B382" s="1">
        <v>45206</v>
      </c>
      <c r="C382" t="s">
        <v>42</v>
      </c>
      <c r="D382" t="s">
        <v>25</v>
      </c>
      <c r="E382">
        <v>6453.17</v>
      </c>
      <c r="F382">
        <v>23</v>
      </c>
      <c r="G382" t="s">
        <v>35</v>
      </c>
      <c r="H382">
        <v>647.70000000000005</v>
      </c>
      <c r="I382">
        <v>902.26</v>
      </c>
      <c r="J382" t="s">
        <v>30</v>
      </c>
      <c r="K382">
        <v>0.17</v>
      </c>
      <c r="L382" t="s">
        <v>27</v>
      </c>
      <c r="M382" t="s">
        <v>19</v>
      </c>
      <c r="N382" t="s">
        <v>43</v>
      </c>
    </row>
    <row r="383" spans="2:14" x14ac:dyDescent="0.25">
      <c r="B383" s="1">
        <v>45007</v>
      </c>
      <c r="C383" t="s">
        <v>38</v>
      </c>
      <c r="D383" t="s">
        <v>15</v>
      </c>
      <c r="E383">
        <v>6747.64</v>
      </c>
      <c r="F383">
        <v>6</v>
      </c>
      <c r="G383" t="s">
        <v>35</v>
      </c>
      <c r="H383">
        <v>4885.9799999999996</v>
      </c>
      <c r="I383">
        <v>4949.95</v>
      </c>
      <c r="J383" t="s">
        <v>17</v>
      </c>
      <c r="K383">
        <v>0.17</v>
      </c>
      <c r="L383" t="s">
        <v>27</v>
      </c>
      <c r="M383" t="s">
        <v>19</v>
      </c>
      <c r="N383" t="s">
        <v>40</v>
      </c>
    </row>
    <row r="384" spans="2:14" x14ac:dyDescent="0.25">
      <c r="B384" s="1">
        <v>45128</v>
      </c>
      <c r="C384" t="s">
        <v>14</v>
      </c>
      <c r="D384" t="s">
        <v>34</v>
      </c>
      <c r="E384">
        <v>6359.59</v>
      </c>
      <c r="F384">
        <v>32</v>
      </c>
      <c r="G384" t="s">
        <v>35</v>
      </c>
      <c r="H384">
        <v>975.31</v>
      </c>
      <c r="I384">
        <v>1176.17</v>
      </c>
      <c r="J384" t="s">
        <v>30</v>
      </c>
      <c r="K384">
        <v>0.22</v>
      </c>
      <c r="L384" t="s">
        <v>27</v>
      </c>
      <c r="M384" t="s">
        <v>22</v>
      </c>
      <c r="N384" t="s">
        <v>46</v>
      </c>
    </row>
    <row r="385" spans="2:14" x14ac:dyDescent="0.25">
      <c r="B385" s="1">
        <v>45084</v>
      </c>
      <c r="C385" t="s">
        <v>33</v>
      </c>
      <c r="D385" t="s">
        <v>34</v>
      </c>
      <c r="E385">
        <v>2070.02</v>
      </c>
      <c r="F385">
        <v>42</v>
      </c>
      <c r="G385" t="s">
        <v>29</v>
      </c>
      <c r="H385">
        <v>2254.11</v>
      </c>
      <c r="I385">
        <v>2382.23</v>
      </c>
      <c r="J385" t="s">
        <v>17</v>
      </c>
      <c r="K385">
        <v>0.15</v>
      </c>
      <c r="L385" t="s">
        <v>31</v>
      </c>
      <c r="M385" t="s">
        <v>22</v>
      </c>
      <c r="N385" t="s">
        <v>36</v>
      </c>
    </row>
    <row r="386" spans="2:14" x14ac:dyDescent="0.25">
      <c r="B386" s="1">
        <v>45046</v>
      </c>
      <c r="C386" t="s">
        <v>42</v>
      </c>
      <c r="D386" t="s">
        <v>21</v>
      </c>
      <c r="E386">
        <v>4241.51</v>
      </c>
      <c r="F386">
        <v>18</v>
      </c>
      <c r="G386" t="s">
        <v>35</v>
      </c>
      <c r="H386">
        <v>2466.1799999999998</v>
      </c>
      <c r="I386">
        <v>2483.87</v>
      </c>
      <c r="J386" t="s">
        <v>17</v>
      </c>
      <c r="K386">
        <v>0.08</v>
      </c>
      <c r="L386" t="s">
        <v>18</v>
      </c>
      <c r="M386" t="s">
        <v>19</v>
      </c>
      <c r="N386" t="s">
        <v>51</v>
      </c>
    </row>
    <row r="387" spans="2:14" x14ac:dyDescent="0.25">
      <c r="B387" s="1">
        <v>44985</v>
      </c>
      <c r="C387" t="s">
        <v>42</v>
      </c>
      <c r="D387" t="s">
        <v>21</v>
      </c>
      <c r="E387">
        <v>7534.3</v>
      </c>
      <c r="F387">
        <v>15</v>
      </c>
      <c r="G387" t="s">
        <v>16</v>
      </c>
      <c r="H387">
        <v>4074.66</v>
      </c>
      <c r="I387">
        <v>4261.1099999999997</v>
      </c>
      <c r="J387" t="s">
        <v>17</v>
      </c>
      <c r="K387">
        <v>0.05</v>
      </c>
      <c r="L387" t="s">
        <v>31</v>
      </c>
      <c r="M387" t="s">
        <v>22</v>
      </c>
      <c r="N387" t="s">
        <v>51</v>
      </c>
    </row>
    <row r="388" spans="2:14" x14ac:dyDescent="0.25">
      <c r="B388" s="1">
        <v>45141</v>
      </c>
      <c r="C388" t="s">
        <v>42</v>
      </c>
      <c r="D388" t="s">
        <v>21</v>
      </c>
      <c r="E388">
        <v>1103.5899999999999</v>
      </c>
      <c r="F388">
        <v>40</v>
      </c>
      <c r="G388" t="s">
        <v>26</v>
      </c>
      <c r="H388">
        <v>541.19000000000005</v>
      </c>
      <c r="I388">
        <v>595.20000000000005</v>
      </c>
      <c r="J388" t="s">
        <v>17</v>
      </c>
      <c r="K388">
        <v>0.19</v>
      </c>
      <c r="L388" t="s">
        <v>31</v>
      </c>
      <c r="M388" t="s">
        <v>19</v>
      </c>
      <c r="N388" t="s">
        <v>51</v>
      </c>
    </row>
    <row r="389" spans="2:14" x14ac:dyDescent="0.25">
      <c r="B389" s="1">
        <v>45054</v>
      </c>
      <c r="C389" t="s">
        <v>33</v>
      </c>
      <c r="D389" t="s">
        <v>15</v>
      </c>
      <c r="E389">
        <v>2850.74</v>
      </c>
      <c r="F389">
        <v>32</v>
      </c>
      <c r="G389" t="s">
        <v>26</v>
      </c>
      <c r="H389">
        <v>2171.79</v>
      </c>
      <c r="I389">
        <v>2307.64</v>
      </c>
      <c r="J389" t="s">
        <v>17</v>
      </c>
      <c r="K389">
        <v>0.22</v>
      </c>
      <c r="L389" t="s">
        <v>27</v>
      </c>
      <c r="M389" t="s">
        <v>19</v>
      </c>
      <c r="N389" t="s">
        <v>53</v>
      </c>
    </row>
    <row r="390" spans="2:14" x14ac:dyDescent="0.25">
      <c r="B390" s="1">
        <v>45150</v>
      </c>
      <c r="C390" t="s">
        <v>33</v>
      </c>
      <c r="D390" t="s">
        <v>15</v>
      </c>
      <c r="E390">
        <v>2835.56</v>
      </c>
      <c r="F390">
        <v>9</v>
      </c>
      <c r="G390" t="s">
        <v>35</v>
      </c>
      <c r="H390">
        <v>3161.09</v>
      </c>
      <c r="I390">
        <v>3216.42</v>
      </c>
      <c r="J390" t="s">
        <v>30</v>
      </c>
      <c r="K390">
        <v>0.17</v>
      </c>
      <c r="L390" t="s">
        <v>27</v>
      </c>
      <c r="M390" t="s">
        <v>19</v>
      </c>
      <c r="N390" t="s">
        <v>53</v>
      </c>
    </row>
    <row r="391" spans="2:14" x14ac:dyDescent="0.25">
      <c r="B391" s="1">
        <v>45135</v>
      </c>
      <c r="C391" t="s">
        <v>24</v>
      </c>
      <c r="D391" t="s">
        <v>21</v>
      </c>
      <c r="E391">
        <v>4376.99</v>
      </c>
      <c r="F391">
        <v>37</v>
      </c>
      <c r="G391" t="s">
        <v>35</v>
      </c>
      <c r="H391">
        <v>1115.02</v>
      </c>
      <c r="I391">
        <v>1174.48</v>
      </c>
      <c r="J391" t="s">
        <v>30</v>
      </c>
      <c r="K391">
        <v>0.22</v>
      </c>
      <c r="L391" t="s">
        <v>31</v>
      </c>
      <c r="M391" t="s">
        <v>19</v>
      </c>
      <c r="N391" t="s">
        <v>47</v>
      </c>
    </row>
    <row r="392" spans="2:14" x14ac:dyDescent="0.25">
      <c r="B392" s="1">
        <v>45041</v>
      </c>
      <c r="C392" t="s">
        <v>14</v>
      </c>
      <c r="D392" t="s">
        <v>25</v>
      </c>
      <c r="E392">
        <v>9805.65</v>
      </c>
      <c r="F392">
        <v>10</v>
      </c>
      <c r="G392" t="s">
        <v>35</v>
      </c>
      <c r="H392">
        <v>3155.97</v>
      </c>
      <c r="I392">
        <v>3263.49</v>
      </c>
      <c r="J392" t="s">
        <v>17</v>
      </c>
      <c r="K392">
        <v>0.04</v>
      </c>
      <c r="L392" t="s">
        <v>31</v>
      </c>
      <c r="M392" t="s">
        <v>19</v>
      </c>
      <c r="N392" t="s">
        <v>32</v>
      </c>
    </row>
    <row r="393" spans="2:14" x14ac:dyDescent="0.25">
      <c r="B393" s="1">
        <v>45135</v>
      </c>
      <c r="C393" t="s">
        <v>24</v>
      </c>
      <c r="D393" t="s">
        <v>34</v>
      </c>
      <c r="E393">
        <v>768.28</v>
      </c>
      <c r="F393">
        <v>20</v>
      </c>
      <c r="G393" t="s">
        <v>29</v>
      </c>
      <c r="H393">
        <v>4622.1400000000003</v>
      </c>
      <c r="I393">
        <v>5122.07</v>
      </c>
      <c r="J393" t="s">
        <v>30</v>
      </c>
      <c r="K393">
        <v>0.26</v>
      </c>
      <c r="L393" t="s">
        <v>18</v>
      </c>
      <c r="M393" t="s">
        <v>22</v>
      </c>
      <c r="N393" t="s">
        <v>50</v>
      </c>
    </row>
    <row r="394" spans="2:14" x14ac:dyDescent="0.25">
      <c r="B394" s="1">
        <v>44940</v>
      </c>
      <c r="C394" t="s">
        <v>14</v>
      </c>
      <c r="D394" t="s">
        <v>34</v>
      </c>
      <c r="E394">
        <v>5235.1400000000003</v>
      </c>
      <c r="F394">
        <v>6</v>
      </c>
      <c r="G394" t="s">
        <v>26</v>
      </c>
      <c r="H394">
        <v>4987.71</v>
      </c>
      <c r="I394">
        <v>4998.78</v>
      </c>
      <c r="J394" t="s">
        <v>17</v>
      </c>
      <c r="K394">
        <v>0.17</v>
      </c>
      <c r="L394" t="s">
        <v>18</v>
      </c>
      <c r="M394" t="s">
        <v>22</v>
      </c>
      <c r="N394" t="s">
        <v>46</v>
      </c>
    </row>
    <row r="395" spans="2:14" x14ac:dyDescent="0.25">
      <c r="B395" s="1">
        <v>44935</v>
      </c>
      <c r="C395" t="s">
        <v>33</v>
      </c>
      <c r="D395" t="s">
        <v>15</v>
      </c>
      <c r="E395">
        <v>1875.71</v>
      </c>
      <c r="F395">
        <v>48</v>
      </c>
      <c r="G395" t="s">
        <v>35</v>
      </c>
      <c r="H395">
        <v>210.63</v>
      </c>
      <c r="I395">
        <v>533.57999999999902</v>
      </c>
      <c r="J395" t="s">
        <v>30</v>
      </c>
      <c r="K395">
        <v>0.04</v>
      </c>
      <c r="L395" t="s">
        <v>27</v>
      </c>
      <c r="M395" t="s">
        <v>19</v>
      </c>
      <c r="N395" t="s">
        <v>53</v>
      </c>
    </row>
    <row r="396" spans="2:14" x14ac:dyDescent="0.25">
      <c r="B396" s="1">
        <v>44966</v>
      </c>
      <c r="C396" t="s">
        <v>33</v>
      </c>
      <c r="D396" t="s">
        <v>34</v>
      </c>
      <c r="E396">
        <v>9709.7000000000007</v>
      </c>
      <c r="F396">
        <v>3</v>
      </c>
      <c r="G396" t="s">
        <v>16</v>
      </c>
      <c r="H396">
        <v>1216.1600000000001</v>
      </c>
      <c r="I396">
        <v>1295.3699999999999</v>
      </c>
      <c r="J396" t="s">
        <v>30</v>
      </c>
      <c r="K396">
        <v>0.14000000000000001</v>
      </c>
      <c r="L396" t="s">
        <v>18</v>
      </c>
      <c r="M396" t="s">
        <v>22</v>
      </c>
      <c r="N396" t="s">
        <v>36</v>
      </c>
    </row>
    <row r="397" spans="2:14" x14ac:dyDescent="0.25">
      <c r="B397" s="1">
        <v>45163</v>
      </c>
      <c r="C397" t="s">
        <v>24</v>
      </c>
      <c r="D397" t="s">
        <v>25</v>
      </c>
      <c r="E397">
        <v>1221.7</v>
      </c>
      <c r="F397">
        <v>42</v>
      </c>
      <c r="G397" t="s">
        <v>35</v>
      </c>
      <c r="H397">
        <v>1586.02</v>
      </c>
      <c r="I397">
        <v>2047.13</v>
      </c>
      <c r="J397" t="s">
        <v>30</v>
      </c>
      <c r="K397">
        <v>0.25</v>
      </c>
      <c r="L397" t="s">
        <v>18</v>
      </c>
      <c r="M397" t="s">
        <v>22</v>
      </c>
      <c r="N397" t="s">
        <v>28</v>
      </c>
    </row>
    <row r="398" spans="2:14" x14ac:dyDescent="0.25">
      <c r="B398" s="1">
        <v>45207</v>
      </c>
      <c r="C398" t="s">
        <v>38</v>
      </c>
      <c r="D398" t="s">
        <v>34</v>
      </c>
      <c r="E398">
        <v>4095.65</v>
      </c>
      <c r="F398">
        <v>11</v>
      </c>
      <c r="G398" t="s">
        <v>26</v>
      </c>
      <c r="H398">
        <v>2025.67</v>
      </c>
      <c r="I398">
        <v>2081.5500000000002</v>
      </c>
      <c r="J398" t="s">
        <v>30</v>
      </c>
      <c r="K398">
        <v>0.27</v>
      </c>
      <c r="L398" t="s">
        <v>27</v>
      </c>
      <c r="M398" t="s">
        <v>19</v>
      </c>
      <c r="N398" t="s">
        <v>48</v>
      </c>
    </row>
    <row r="399" spans="2:14" x14ac:dyDescent="0.25">
      <c r="B399" s="1">
        <v>45285</v>
      </c>
      <c r="C399" t="s">
        <v>24</v>
      </c>
      <c r="D399" t="s">
        <v>15</v>
      </c>
      <c r="E399">
        <v>7405.06</v>
      </c>
      <c r="F399">
        <v>43</v>
      </c>
      <c r="G399" t="s">
        <v>35</v>
      </c>
      <c r="H399">
        <v>1249.17</v>
      </c>
      <c r="I399">
        <v>1727.15</v>
      </c>
      <c r="J399" t="s">
        <v>30</v>
      </c>
      <c r="K399">
        <v>0.08</v>
      </c>
      <c r="L399" t="s">
        <v>18</v>
      </c>
      <c r="M399" t="s">
        <v>22</v>
      </c>
      <c r="N399" t="s">
        <v>45</v>
      </c>
    </row>
    <row r="400" spans="2:14" x14ac:dyDescent="0.25">
      <c r="B400" s="1">
        <v>45127</v>
      </c>
      <c r="C400" t="s">
        <v>14</v>
      </c>
      <c r="D400" t="s">
        <v>15</v>
      </c>
      <c r="E400">
        <v>7075.09</v>
      </c>
      <c r="F400">
        <v>17</v>
      </c>
      <c r="G400" t="s">
        <v>26</v>
      </c>
      <c r="H400">
        <v>1057.27</v>
      </c>
      <c r="I400">
        <v>1366.62</v>
      </c>
      <c r="J400" t="s">
        <v>30</v>
      </c>
      <c r="K400">
        <v>0.21</v>
      </c>
      <c r="L400" t="s">
        <v>31</v>
      </c>
      <c r="M400" t="s">
        <v>22</v>
      </c>
      <c r="N400" t="s">
        <v>20</v>
      </c>
    </row>
    <row r="401" spans="2:14" x14ac:dyDescent="0.25">
      <c r="B401" s="1">
        <v>45172</v>
      </c>
      <c r="C401" t="s">
        <v>24</v>
      </c>
      <c r="D401" t="s">
        <v>25</v>
      </c>
      <c r="E401">
        <v>4285.01</v>
      </c>
      <c r="F401">
        <v>32</v>
      </c>
      <c r="G401" t="s">
        <v>35</v>
      </c>
      <c r="H401">
        <v>4775.04</v>
      </c>
      <c r="I401">
        <v>4785.66</v>
      </c>
      <c r="J401" t="s">
        <v>30</v>
      </c>
      <c r="K401">
        <v>0.03</v>
      </c>
      <c r="L401" t="s">
        <v>18</v>
      </c>
      <c r="M401" t="s">
        <v>19</v>
      </c>
      <c r="N401" t="s">
        <v>28</v>
      </c>
    </row>
    <row r="402" spans="2:14" x14ac:dyDescent="0.25">
      <c r="B402" s="1">
        <v>45204</v>
      </c>
      <c r="C402" t="s">
        <v>42</v>
      </c>
      <c r="D402" t="s">
        <v>25</v>
      </c>
      <c r="E402">
        <v>3530.59</v>
      </c>
      <c r="F402">
        <v>4</v>
      </c>
      <c r="G402" t="s">
        <v>16</v>
      </c>
      <c r="H402">
        <v>4596.68</v>
      </c>
      <c r="I402">
        <v>5044.74</v>
      </c>
      <c r="J402" t="s">
        <v>30</v>
      </c>
      <c r="K402">
        <v>0.01</v>
      </c>
      <c r="L402" t="s">
        <v>27</v>
      </c>
      <c r="M402" t="s">
        <v>19</v>
      </c>
      <c r="N402" t="s">
        <v>43</v>
      </c>
    </row>
    <row r="403" spans="2:14" x14ac:dyDescent="0.25">
      <c r="B403" s="1">
        <v>45161</v>
      </c>
      <c r="C403" t="s">
        <v>14</v>
      </c>
      <c r="D403" t="s">
        <v>34</v>
      </c>
      <c r="E403">
        <v>4036.36</v>
      </c>
      <c r="F403">
        <v>4</v>
      </c>
      <c r="G403" t="s">
        <v>35</v>
      </c>
      <c r="H403">
        <v>282.61</v>
      </c>
      <c r="I403">
        <v>548.25</v>
      </c>
      <c r="J403" t="s">
        <v>30</v>
      </c>
      <c r="K403">
        <v>0.17</v>
      </c>
      <c r="L403" t="s">
        <v>31</v>
      </c>
      <c r="M403" t="s">
        <v>19</v>
      </c>
      <c r="N403" t="s">
        <v>46</v>
      </c>
    </row>
    <row r="404" spans="2:14" x14ac:dyDescent="0.25">
      <c r="B404" s="1">
        <v>44930</v>
      </c>
      <c r="C404" t="s">
        <v>14</v>
      </c>
      <c r="D404" t="s">
        <v>34</v>
      </c>
      <c r="E404">
        <v>2716.34</v>
      </c>
      <c r="F404">
        <v>17</v>
      </c>
      <c r="G404" t="s">
        <v>16</v>
      </c>
      <c r="H404">
        <v>1727.12</v>
      </c>
      <c r="I404">
        <v>1865.83</v>
      </c>
      <c r="J404" t="s">
        <v>30</v>
      </c>
      <c r="K404">
        <v>0.21</v>
      </c>
      <c r="L404" t="s">
        <v>18</v>
      </c>
      <c r="M404" t="s">
        <v>19</v>
      </c>
      <c r="N404" t="s">
        <v>46</v>
      </c>
    </row>
    <row r="405" spans="2:14" x14ac:dyDescent="0.25">
      <c r="B405" s="1">
        <v>45080</v>
      </c>
      <c r="C405" t="s">
        <v>38</v>
      </c>
      <c r="D405" t="s">
        <v>15</v>
      </c>
      <c r="E405">
        <v>2132.8000000000002</v>
      </c>
      <c r="F405">
        <v>41</v>
      </c>
      <c r="G405" t="s">
        <v>16</v>
      </c>
      <c r="H405">
        <v>2055.4899999999998</v>
      </c>
      <c r="I405">
        <v>2441.46</v>
      </c>
      <c r="J405" t="s">
        <v>30</v>
      </c>
      <c r="K405">
        <v>0.24</v>
      </c>
      <c r="L405" t="s">
        <v>31</v>
      </c>
      <c r="M405" t="s">
        <v>19</v>
      </c>
      <c r="N405" t="s">
        <v>40</v>
      </c>
    </row>
    <row r="406" spans="2:14" x14ac:dyDescent="0.25">
      <c r="B406" s="1">
        <v>44955</v>
      </c>
      <c r="C406" t="s">
        <v>33</v>
      </c>
      <c r="D406" t="s">
        <v>25</v>
      </c>
      <c r="E406">
        <v>4882.09</v>
      </c>
      <c r="F406">
        <v>19</v>
      </c>
      <c r="G406" t="s">
        <v>35</v>
      </c>
      <c r="H406">
        <v>1233.1199999999999</v>
      </c>
      <c r="I406">
        <v>1697.1899999999901</v>
      </c>
      <c r="J406" t="s">
        <v>30</v>
      </c>
      <c r="K406">
        <v>0.1</v>
      </c>
      <c r="L406" t="s">
        <v>31</v>
      </c>
      <c r="M406" t="s">
        <v>19</v>
      </c>
      <c r="N406" t="s">
        <v>44</v>
      </c>
    </row>
    <row r="407" spans="2:14" x14ac:dyDescent="0.25">
      <c r="B407" s="1">
        <v>45035</v>
      </c>
      <c r="C407" t="s">
        <v>14</v>
      </c>
      <c r="D407" t="s">
        <v>25</v>
      </c>
      <c r="E407">
        <v>2758.48</v>
      </c>
      <c r="F407">
        <v>5</v>
      </c>
      <c r="G407" t="s">
        <v>16</v>
      </c>
      <c r="H407">
        <v>3162.92</v>
      </c>
      <c r="I407">
        <v>3409.93</v>
      </c>
      <c r="J407" t="s">
        <v>30</v>
      </c>
      <c r="K407">
        <v>0</v>
      </c>
      <c r="L407" t="s">
        <v>18</v>
      </c>
      <c r="M407" t="s">
        <v>19</v>
      </c>
      <c r="N407" t="s">
        <v>32</v>
      </c>
    </row>
    <row r="408" spans="2:14" x14ac:dyDescent="0.25">
      <c r="B408" s="1">
        <v>45024</v>
      </c>
      <c r="C408" t="s">
        <v>33</v>
      </c>
      <c r="D408" t="s">
        <v>25</v>
      </c>
      <c r="E408">
        <v>2945.87</v>
      </c>
      <c r="F408">
        <v>32</v>
      </c>
      <c r="G408" t="s">
        <v>29</v>
      </c>
      <c r="H408">
        <v>3219.88</v>
      </c>
      <c r="I408">
        <v>3384.5</v>
      </c>
      <c r="J408" t="s">
        <v>17</v>
      </c>
      <c r="K408">
        <v>0.14000000000000001</v>
      </c>
      <c r="L408" t="s">
        <v>18</v>
      </c>
      <c r="M408" t="s">
        <v>22</v>
      </c>
      <c r="N408" t="s">
        <v>44</v>
      </c>
    </row>
    <row r="409" spans="2:14" x14ac:dyDescent="0.25">
      <c r="B409" s="1">
        <v>45141</v>
      </c>
      <c r="C409" t="s">
        <v>24</v>
      </c>
      <c r="D409" t="s">
        <v>34</v>
      </c>
      <c r="E409">
        <v>6601.89</v>
      </c>
      <c r="F409">
        <v>22</v>
      </c>
      <c r="G409" t="s">
        <v>35</v>
      </c>
      <c r="H409">
        <v>4260</v>
      </c>
      <c r="I409">
        <v>4656.58</v>
      </c>
      <c r="J409" t="s">
        <v>30</v>
      </c>
      <c r="K409">
        <v>0</v>
      </c>
      <c r="L409" t="s">
        <v>27</v>
      </c>
      <c r="M409" t="s">
        <v>19</v>
      </c>
      <c r="N409" t="s">
        <v>50</v>
      </c>
    </row>
    <row r="410" spans="2:14" x14ac:dyDescent="0.25">
      <c r="B410" s="1">
        <v>45219</v>
      </c>
      <c r="C410" t="s">
        <v>42</v>
      </c>
      <c r="D410" t="s">
        <v>25</v>
      </c>
      <c r="E410">
        <v>9688.52</v>
      </c>
      <c r="F410">
        <v>6</v>
      </c>
      <c r="G410" t="s">
        <v>35</v>
      </c>
      <c r="H410">
        <v>3717.3</v>
      </c>
      <c r="I410">
        <v>4061.37</v>
      </c>
      <c r="J410" t="s">
        <v>30</v>
      </c>
      <c r="K410">
        <v>0.03</v>
      </c>
      <c r="L410" t="s">
        <v>27</v>
      </c>
      <c r="M410" t="s">
        <v>22</v>
      </c>
      <c r="N410" t="s">
        <v>43</v>
      </c>
    </row>
    <row r="411" spans="2:14" x14ac:dyDescent="0.25">
      <c r="B411" s="1">
        <v>45001</v>
      </c>
      <c r="C411" t="s">
        <v>38</v>
      </c>
      <c r="D411" t="s">
        <v>15</v>
      </c>
      <c r="E411">
        <v>6076.01</v>
      </c>
      <c r="F411">
        <v>35</v>
      </c>
      <c r="G411" t="s">
        <v>16</v>
      </c>
      <c r="H411">
        <v>2735.74</v>
      </c>
      <c r="I411">
        <v>3181.22999999999</v>
      </c>
      <c r="J411" t="s">
        <v>30</v>
      </c>
      <c r="K411">
        <v>0.1</v>
      </c>
      <c r="L411" t="s">
        <v>31</v>
      </c>
      <c r="M411" t="s">
        <v>22</v>
      </c>
      <c r="N411" t="s">
        <v>40</v>
      </c>
    </row>
    <row r="412" spans="2:14" x14ac:dyDescent="0.25">
      <c r="B412" s="1">
        <v>45252</v>
      </c>
      <c r="C412" t="s">
        <v>33</v>
      </c>
      <c r="D412" t="s">
        <v>15</v>
      </c>
      <c r="E412">
        <v>862.1</v>
      </c>
      <c r="F412">
        <v>22</v>
      </c>
      <c r="G412" t="s">
        <v>16</v>
      </c>
      <c r="H412">
        <v>3285.25</v>
      </c>
      <c r="I412">
        <v>3634.58</v>
      </c>
      <c r="J412" t="s">
        <v>30</v>
      </c>
      <c r="K412">
        <v>0.13</v>
      </c>
      <c r="L412" t="s">
        <v>27</v>
      </c>
      <c r="M412" t="s">
        <v>19</v>
      </c>
      <c r="N412" t="s">
        <v>53</v>
      </c>
    </row>
    <row r="413" spans="2:14" x14ac:dyDescent="0.25">
      <c r="B413" s="1">
        <v>45072</v>
      </c>
      <c r="C413" t="s">
        <v>14</v>
      </c>
      <c r="D413" t="s">
        <v>34</v>
      </c>
      <c r="E413">
        <v>848.28</v>
      </c>
      <c r="F413">
        <v>1</v>
      </c>
      <c r="G413" t="s">
        <v>35</v>
      </c>
      <c r="H413">
        <v>1406.24</v>
      </c>
      <c r="I413">
        <v>1535.57</v>
      </c>
      <c r="J413" t="s">
        <v>30</v>
      </c>
      <c r="K413">
        <v>0.08</v>
      </c>
      <c r="L413" t="s">
        <v>31</v>
      </c>
      <c r="M413" t="s">
        <v>22</v>
      </c>
      <c r="N413" t="s">
        <v>46</v>
      </c>
    </row>
    <row r="414" spans="2:14" x14ac:dyDescent="0.25">
      <c r="B414" s="1">
        <v>45054</v>
      </c>
      <c r="C414" t="s">
        <v>33</v>
      </c>
      <c r="D414" t="s">
        <v>21</v>
      </c>
      <c r="E414">
        <v>9519.09</v>
      </c>
      <c r="F414">
        <v>20</v>
      </c>
      <c r="G414" t="s">
        <v>29</v>
      </c>
      <c r="H414">
        <v>2985.63</v>
      </c>
      <c r="I414">
        <v>3452.14</v>
      </c>
      <c r="J414" t="s">
        <v>30</v>
      </c>
      <c r="K414">
        <v>0.17</v>
      </c>
      <c r="L414" t="s">
        <v>31</v>
      </c>
      <c r="M414" t="s">
        <v>22</v>
      </c>
      <c r="N414" t="s">
        <v>37</v>
      </c>
    </row>
    <row r="415" spans="2:14" x14ac:dyDescent="0.25">
      <c r="B415" s="1">
        <v>45267</v>
      </c>
      <c r="C415" t="s">
        <v>14</v>
      </c>
      <c r="D415" t="s">
        <v>34</v>
      </c>
      <c r="E415">
        <v>3043.18</v>
      </c>
      <c r="F415">
        <v>22</v>
      </c>
      <c r="G415" t="s">
        <v>16</v>
      </c>
      <c r="H415">
        <v>2471.67</v>
      </c>
      <c r="I415">
        <v>2533.04</v>
      </c>
      <c r="J415" t="s">
        <v>17</v>
      </c>
      <c r="K415">
        <v>0.02</v>
      </c>
      <c r="L415" t="s">
        <v>27</v>
      </c>
      <c r="M415" t="s">
        <v>22</v>
      </c>
      <c r="N415" t="s">
        <v>46</v>
      </c>
    </row>
    <row r="416" spans="2:14" x14ac:dyDescent="0.25">
      <c r="B416" s="1">
        <v>44968</v>
      </c>
      <c r="C416" t="s">
        <v>33</v>
      </c>
      <c r="D416" t="s">
        <v>21</v>
      </c>
      <c r="E416">
        <v>1011.46</v>
      </c>
      <c r="F416">
        <v>48</v>
      </c>
      <c r="G416" t="s">
        <v>16</v>
      </c>
      <c r="H416">
        <v>710.06</v>
      </c>
      <c r="I416">
        <v>851.349999999999</v>
      </c>
      <c r="J416" t="s">
        <v>17</v>
      </c>
      <c r="K416">
        <v>0.04</v>
      </c>
      <c r="L416" t="s">
        <v>27</v>
      </c>
      <c r="M416" t="s">
        <v>19</v>
      </c>
      <c r="N416" t="s">
        <v>37</v>
      </c>
    </row>
    <row r="417" spans="2:14" x14ac:dyDescent="0.25">
      <c r="B417" s="1">
        <v>45282</v>
      </c>
      <c r="C417" t="s">
        <v>14</v>
      </c>
      <c r="D417" t="s">
        <v>25</v>
      </c>
      <c r="E417">
        <v>6030.54</v>
      </c>
      <c r="F417">
        <v>11</v>
      </c>
      <c r="G417" t="s">
        <v>26</v>
      </c>
      <c r="H417">
        <v>1250.5899999999999</v>
      </c>
      <c r="I417">
        <v>1515.48999999999</v>
      </c>
      <c r="J417" t="s">
        <v>17</v>
      </c>
      <c r="K417">
        <v>0.21</v>
      </c>
      <c r="L417" t="s">
        <v>27</v>
      </c>
      <c r="M417" t="s">
        <v>22</v>
      </c>
      <c r="N417" t="s">
        <v>32</v>
      </c>
    </row>
    <row r="418" spans="2:14" x14ac:dyDescent="0.25">
      <c r="B418" s="1">
        <v>44967</v>
      </c>
      <c r="C418" t="s">
        <v>24</v>
      </c>
      <c r="D418" t="s">
        <v>34</v>
      </c>
      <c r="E418">
        <v>6274.12</v>
      </c>
      <c r="F418">
        <v>13</v>
      </c>
      <c r="G418" t="s">
        <v>29</v>
      </c>
      <c r="H418">
        <v>1493.88</v>
      </c>
      <c r="I418">
        <v>1781.09</v>
      </c>
      <c r="J418" t="s">
        <v>30</v>
      </c>
      <c r="K418">
        <v>0.04</v>
      </c>
      <c r="L418" t="s">
        <v>18</v>
      </c>
      <c r="M418" t="s">
        <v>22</v>
      </c>
      <c r="N418" t="s">
        <v>50</v>
      </c>
    </row>
    <row r="419" spans="2:14" x14ac:dyDescent="0.25">
      <c r="B419" s="1">
        <v>44960</v>
      </c>
      <c r="C419" t="s">
        <v>14</v>
      </c>
      <c r="D419" t="s">
        <v>15</v>
      </c>
      <c r="E419">
        <v>6520.2</v>
      </c>
      <c r="F419">
        <v>42</v>
      </c>
      <c r="G419" t="s">
        <v>29</v>
      </c>
      <c r="H419">
        <v>4625.33</v>
      </c>
      <c r="I419">
        <v>4642.83</v>
      </c>
      <c r="J419" t="s">
        <v>30</v>
      </c>
      <c r="K419">
        <v>0.19</v>
      </c>
      <c r="L419" t="s">
        <v>31</v>
      </c>
      <c r="M419" t="s">
        <v>19</v>
      </c>
      <c r="N419" t="s">
        <v>20</v>
      </c>
    </row>
    <row r="420" spans="2:14" x14ac:dyDescent="0.25">
      <c r="B420" s="1">
        <v>44943</v>
      </c>
      <c r="C420" t="s">
        <v>14</v>
      </c>
      <c r="D420" t="s">
        <v>25</v>
      </c>
      <c r="E420">
        <v>2747.28</v>
      </c>
      <c r="F420">
        <v>3</v>
      </c>
      <c r="G420" t="s">
        <v>35</v>
      </c>
      <c r="H420">
        <v>1190.4100000000001</v>
      </c>
      <c r="I420">
        <v>1582.89</v>
      </c>
      <c r="J420" t="s">
        <v>30</v>
      </c>
      <c r="K420">
        <v>0.02</v>
      </c>
      <c r="L420" t="s">
        <v>31</v>
      </c>
      <c r="M420" t="s">
        <v>22</v>
      </c>
      <c r="N420" t="s">
        <v>32</v>
      </c>
    </row>
    <row r="421" spans="2:14" x14ac:dyDescent="0.25">
      <c r="B421" s="1">
        <v>45091</v>
      </c>
      <c r="C421" t="s">
        <v>42</v>
      </c>
      <c r="D421" t="s">
        <v>15</v>
      </c>
      <c r="E421">
        <v>249.6</v>
      </c>
      <c r="F421">
        <v>9</v>
      </c>
      <c r="G421" t="s">
        <v>29</v>
      </c>
      <c r="H421">
        <v>1481.76</v>
      </c>
      <c r="I421">
        <v>1668.95</v>
      </c>
      <c r="J421" t="s">
        <v>17</v>
      </c>
      <c r="K421">
        <v>0.12</v>
      </c>
      <c r="L421" t="s">
        <v>31</v>
      </c>
      <c r="M421" t="s">
        <v>22</v>
      </c>
      <c r="N421" t="s">
        <v>49</v>
      </c>
    </row>
    <row r="422" spans="2:14" x14ac:dyDescent="0.25">
      <c r="B422" s="1">
        <v>45079</v>
      </c>
      <c r="C422" t="s">
        <v>14</v>
      </c>
      <c r="D422" t="s">
        <v>25</v>
      </c>
      <c r="E422">
        <v>9653.65</v>
      </c>
      <c r="F422">
        <v>12</v>
      </c>
      <c r="G422" t="s">
        <v>35</v>
      </c>
      <c r="H422">
        <v>1878.3</v>
      </c>
      <c r="I422">
        <v>2087.4499999999998</v>
      </c>
      <c r="J422" t="s">
        <v>30</v>
      </c>
      <c r="K422">
        <v>0.05</v>
      </c>
      <c r="L422" t="s">
        <v>27</v>
      </c>
      <c r="M422" t="s">
        <v>22</v>
      </c>
      <c r="N422" t="s">
        <v>32</v>
      </c>
    </row>
    <row r="423" spans="2:14" x14ac:dyDescent="0.25">
      <c r="B423" s="1">
        <v>45002</v>
      </c>
      <c r="C423" t="s">
        <v>42</v>
      </c>
      <c r="D423" t="s">
        <v>34</v>
      </c>
      <c r="E423">
        <v>2583.84</v>
      </c>
      <c r="F423">
        <v>23</v>
      </c>
      <c r="G423" t="s">
        <v>26</v>
      </c>
      <c r="H423">
        <v>3335.53</v>
      </c>
      <c r="I423">
        <v>3742.12</v>
      </c>
      <c r="J423" t="s">
        <v>30</v>
      </c>
      <c r="K423">
        <v>0.03</v>
      </c>
      <c r="L423" t="s">
        <v>27</v>
      </c>
      <c r="M423" t="s">
        <v>22</v>
      </c>
      <c r="N423" t="s">
        <v>52</v>
      </c>
    </row>
    <row r="424" spans="2:14" x14ac:dyDescent="0.25">
      <c r="B424" s="1">
        <v>45013</v>
      </c>
      <c r="C424" t="s">
        <v>38</v>
      </c>
      <c r="D424" t="s">
        <v>21</v>
      </c>
      <c r="E424">
        <v>6792.66</v>
      </c>
      <c r="F424">
        <v>14</v>
      </c>
      <c r="G424" t="s">
        <v>29</v>
      </c>
      <c r="H424">
        <v>635.28</v>
      </c>
      <c r="I424">
        <v>831.13</v>
      </c>
      <c r="J424" t="s">
        <v>17</v>
      </c>
      <c r="K424">
        <v>0.17</v>
      </c>
      <c r="L424" t="s">
        <v>27</v>
      </c>
      <c r="M424" t="s">
        <v>22</v>
      </c>
      <c r="N424" t="s">
        <v>41</v>
      </c>
    </row>
    <row r="425" spans="2:14" x14ac:dyDescent="0.25">
      <c r="B425" s="1">
        <v>45043</v>
      </c>
      <c r="C425" t="s">
        <v>42</v>
      </c>
      <c r="D425" t="s">
        <v>25</v>
      </c>
      <c r="E425">
        <v>7095.64</v>
      </c>
      <c r="F425">
        <v>33</v>
      </c>
      <c r="G425" t="s">
        <v>16</v>
      </c>
      <c r="H425">
        <v>4772.03</v>
      </c>
      <c r="I425">
        <v>4805.17</v>
      </c>
      <c r="J425" t="s">
        <v>17</v>
      </c>
      <c r="K425">
        <v>0.28000000000000003</v>
      </c>
      <c r="L425" t="s">
        <v>27</v>
      </c>
      <c r="M425" t="s">
        <v>19</v>
      </c>
      <c r="N425" t="s">
        <v>43</v>
      </c>
    </row>
    <row r="426" spans="2:14" x14ac:dyDescent="0.25">
      <c r="B426" s="1">
        <v>45288</v>
      </c>
      <c r="C426" t="s">
        <v>24</v>
      </c>
      <c r="D426" t="s">
        <v>21</v>
      </c>
      <c r="E426">
        <v>6139.07</v>
      </c>
      <c r="F426">
        <v>18</v>
      </c>
      <c r="G426" t="s">
        <v>26</v>
      </c>
      <c r="H426">
        <v>4334.58</v>
      </c>
      <c r="I426">
        <v>4431.04</v>
      </c>
      <c r="J426" t="s">
        <v>30</v>
      </c>
      <c r="K426">
        <v>0.02</v>
      </c>
      <c r="L426" t="s">
        <v>27</v>
      </c>
      <c r="M426" t="s">
        <v>22</v>
      </c>
      <c r="N426" t="s">
        <v>47</v>
      </c>
    </row>
    <row r="427" spans="2:14" x14ac:dyDescent="0.25">
      <c r="B427" s="1">
        <v>45268</v>
      </c>
      <c r="C427" t="s">
        <v>42</v>
      </c>
      <c r="D427" t="s">
        <v>25</v>
      </c>
      <c r="E427">
        <v>3197.78</v>
      </c>
      <c r="F427">
        <v>49</v>
      </c>
      <c r="G427" t="s">
        <v>35</v>
      </c>
      <c r="H427">
        <v>2907.22</v>
      </c>
      <c r="I427">
        <v>3385.6099999999901</v>
      </c>
      <c r="J427" t="s">
        <v>30</v>
      </c>
      <c r="K427">
        <v>0.13</v>
      </c>
      <c r="L427" t="s">
        <v>18</v>
      </c>
      <c r="M427" t="s">
        <v>19</v>
      </c>
      <c r="N427" t="s">
        <v>43</v>
      </c>
    </row>
    <row r="428" spans="2:14" x14ac:dyDescent="0.25">
      <c r="B428" s="1">
        <v>44953</v>
      </c>
      <c r="C428" t="s">
        <v>38</v>
      </c>
      <c r="D428" t="s">
        <v>15</v>
      </c>
      <c r="E428">
        <v>2783.85</v>
      </c>
      <c r="F428">
        <v>41</v>
      </c>
      <c r="G428" t="s">
        <v>26</v>
      </c>
      <c r="H428">
        <v>3386.49</v>
      </c>
      <c r="I428">
        <v>3430.99</v>
      </c>
      <c r="J428" t="s">
        <v>30</v>
      </c>
      <c r="K428">
        <v>0.21</v>
      </c>
      <c r="L428" t="s">
        <v>27</v>
      </c>
      <c r="M428" t="s">
        <v>22</v>
      </c>
      <c r="N428" t="s">
        <v>40</v>
      </c>
    </row>
    <row r="429" spans="2:14" x14ac:dyDescent="0.25">
      <c r="B429" s="1">
        <v>45239</v>
      </c>
      <c r="C429" t="s">
        <v>24</v>
      </c>
      <c r="D429" t="s">
        <v>15</v>
      </c>
      <c r="E429">
        <v>6016.92</v>
      </c>
      <c r="F429">
        <v>9</v>
      </c>
      <c r="G429" t="s">
        <v>35</v>
      </c>
      <c r="H429">
        <v>132.47</v>
      </c>
      <c r="I429">
        <v>316.39</v>
      </c>
      <c r="J429" t="s">
        <v>30</v>
      </c>
      <c r="K429">
        <v>0.14000000000000001</v>
      </c>
      <c r="L429" t="s">
        <v>31</v>
      </c>
      <c r="M429" t="s">
        <v>19</v>
      </c>
      <c r="N429" t="s">
        <v>45</v>
      </c>
    </row>
    <row r="430" spans="2:14" x14ac:dyDescent="0.25">
      <c r="B430" s="1">
        <v>45213</v>
      </c>
      <c r="C430" t="s">
        <v>33</v>
      </c>
      <c r="D430" t="s">
        <v>25</v>
      </c>
      <c r="E430">
        <v>8674.35</v>
      </c>
      <c r="F430">
        <v>23</v>
      </c>
      <c r="G430" t="s">
        <v>26</v>
      </c>
      <c r="H430">
        <v>1727.78</v>
      </c>
      <c r="I430">
        <v>1984.34</v>
      </c>
      <c r="J430" t="s">
        <v>17</v>
      </c>
      <c r="K430">
        <v>0.24</v>
      </c>
      <c r="L430" t="s">
        <v>27</v>
      </c>
      <c r="M430" t="s">
        <v>19</v>
      </c>
      <c r="N430" t="s">
        <v>44</v>
      </c>
    </row>
    <row r="431" spans="2:14" x14ac:dyDescent="0.25">
      <c r="B431" s="1">
        <v>45060</v>
      </c>
      <c r="C431" t="s">
        <v>33</v>
      </c>
      <c r="D431" t="s">
        <v>21</v>
      </c>
      <c r="E431">
        <v>9472.66</v>
      </c>
      <c r="F431">
        <v>10</v>
      </c>
      <c r="G431" t="s">
        <v>35</v>
      </c>
      <c r="H431">
        <v>3988.52</v>
      </c>
      <c r="I431">
        <v>4240.2299999999996</v>
      </c>
      <c r="J431" t="s">
        <v>30</v>
      </c>
      <c r="K431">
        <v>0.05</v>
      </c>
      <c r="L431" t="s">
        <v>31</v>
      </c>
      <c r="M431" t="s">
        <v>19</v>
      </c>
      <c r="N431" t="s">
        <v>37</v>
      </c>
    </row>
    <row r="432" spans="2:14" x14ac:dyDescent="0.25">
      <c r="B432" s="1">
        <v>45145</v>
      </c>
      <c r="C432" t="s">
        <v>42</v>
      </c>
      <c r="D432" t="s">
        <v>34</v>
      </c>
      <c r="E432">
        <v>1148.47</v>
      </c>
      <c r="F432">
        <v>19</v>
      </c>
      <c r="G432" t="s">
        <v>29</v>
      </c>
      <c r="H432">
        <v>433.54</v>
      </c>
      <c r="I432">
        <v>445.48</v>
      </c>
      <c r="J432" t="s">
        <v>30</v>
      </c>
      <c r="K432">
        <v>0.28999999999999998</v>
      </c>
      <c r="L432" t="s">
        <v>27</v>
      </c>
      <c r="M432" t="s">
        <v>22</v>
      </c>
      <c r="N432" t="s">
        <v>52</v>
      </c>
    </row>
    <row r="433" spans="2:14" x14ac:dyDescent="0.25">
      <c r="B433" s="1">
        <v>45094</v>
      </c>
      <c r="C433" t="s">
        <v>42</v>
      </c>
      <c r="D433" t="s">
        <v>34</v>
      </c>
      <c r="E433">
        <v>1632.8</v>
      </c>
      <c r="F433">
        <v>47</v>
      </c>
      <c r="G433" t="s">
        <v>16</v>
      </c>
      <c r="H433">
        <v>1447.45</v>
      </c>
      <c r="I433">
        <v>1703.02</v>
      </c>
      <c r="J433" t="s">
        <v>17</v>
      </c>
      <c r="K433">
        <v>0.12</v>
      </c>
      <c r="L433" t="s">
        <v>27</v>
      </c>
      <c r="M433" t="s">
        <v>22</v>
      </c>
      <c r="N433" t="s">
        <v>52</v>
      </c>
    </row>
    <row r="434" spans="2:14" x14ac:dyDescent="0.25">
      <c r="B434" s="1">
        <v>45024</v>
      </c>
      <c r="C434" t="s">
        <v>38</v>
      </c>
      <c r="D434" t="s">
        <v>15</v>
      </c>
      <c r="E434">
        <v>9452.89</v>
      </c>
      <c r="F434">
        <v>5</v>
      </c>
      <c r="G434" t="s">
        <v>35</v>
      </c>
      <c r="H434">
        <v>2947.22</v>
      </c>
      <c r="I434">
        <v>3145.27</v>
      </c>
      <c r="J434" t="s">
        <v>30</v>
      </c>
      <c r="K434">
        <v>0.1</v>
      </c>
      <c r="L434" t="s">
        <v>31</v>
      </c>
      <c r="M434" t="s">
        <v>22</v>
      </c>
      <c r="N434" t="s">
        <v>40</v>
      </c>
    </row>
    <row r="435" spans="2:14" x14ac:dyDescent="0.25">
      <c r="B435" s="1">
        <v>45194</v>
      </c>
      <c r="C435" t="s">
        <v>38</v>
      </c>
      <c r="D435" t="s">
        <v>34</v>
      </c>
      <c r="E435">
        <v>7391.7</v>
      </c>
      <c r="F435">
        <v>47</v>
      </c>
      <c r="G435" t="s">
        <v>26</v>
      </c>
      <c r="H435">
        <v>1319.24</v>
      </c>
      <c r="I435">
        <v>1805.56</v>
      </c>
      <c r="J435" t="s">
        <v>30</v>
      </c>
      <c r="K435">
        <v>0.26</v>
      </c>
      <c r="L435" t="s">
        <v>31</v>
      </c>
      <c r="M435" t="s">
        <v>22</v>
      </c>
      <c r="N435" t="s">
        <v>48</v>
      </c>
    </row>
    <row r="436" spans="2:14" x14ac:dyDescent="0.25">
      <c r="B436" s="1">
        <v>45163</v>
      </c>
      <c r="C436" t="s">
        <v>14</v>
      </c>
      <c r="D436" t="s">
        <v>15</v>
      </c>
      <c r="E436">
        <v>8841.64</v>
      </c>
      <c r="F436">
        <v>23</v>
      </c>
      <c r="G436" t="s">
        <v>35</v>
      </c>
      <c r="H436">
        <v>4673.1899999999996</v>
      </c>
      <c r="I436">
        <v>4761.1799999999903</v>
      </c>
      <c r="J436" t="s">
        <v>17</v>
      </c>
      <c r="K436">
        <v>0.17</v>
      </c>
      <c r="L436" t="s">
        <v>31</v>
      </c>
      <c r="M436" t="s">
        <v>22</v>
      </c>
      <c r="N436" t="s">
        <v>20</v>
      </c>
    </row>
    <row r="437" spans="2:14" x14ac:dyDescent="0.25">
      <c r="B437" s="1">
        <v>45235</v>
      </c>
      <c r="C437" t="s">
        <v>38</v>
      </c>
      <c r="D437" t="s">
        <v>34</v>
      </c>
      <c r="E437">
        <v>2106.06</v>
      </c>
      <c r="F437">
        <v>30</v>
      </c>
      <c r="G437" t="s">
        <v>35</v>
      </c>
      <c r="H437">
        <v>698.74</v>
      </c>
      <c r="I437">
        <v>882.28</v>
      </c>
      <c r="J437" t="s">
        <v>17</v>
      </c>
      <c r="K437">
        <v>0.15</v>
      </c>
      <c r="L437" t="s">
        <v>31</v>
      </c>
      <c r="M437" t="s">
        <v>19</v>
      </c>
      <c r="N437" t="s">
        <v>48</v>
      </c>
    </row>
    <row r="438" spans="2:14" x14ac:dyDescent="0.25">
      <c r="B438" s="1">
        <v>45099</v>
      </c>
      <c r="C438" t="s">
        <v>14</v>
      </c>
      <c r="D438" t="s">
        <v>25</v>
      </c>
      <c r="E438">
        <v>5917.1</v>
      </c>
      <c r="F438">
        <v>25</v>
      </c>
      <c r="G438" t="s">
        <v>35</v>
      </c>
      <c r="H438">
        <v>3997.1</v>
      </c>
      <c r="I438">
        <v>4212.6499999999996</v>
      </c>
      <c r="J438" t="s">
        <v>30</v>
      </c>
      <c r="K438">
        <v>0.22</v>
      </c>
      <c r="L438" t="s">
        <v>18</v>
      </c>
      <c r="M438" t="s">
        <v>19</v>
      </c>
      <c r="N438" t="s">
        <v>32</v>
      </c>
    </row>
    <row r="439" spans="2:14" x14ac:dyDescent="0.25">
      <c r="B439" s="1">
        <v>45116</v>
      </c>
      <c r="C439" t="s">
        <v>24</v>
      </c>
      <c r="D439" t="s">
        <v>15</v>
      </c>
      <c r="E439">
        <v>7041.28</v>
      </c>
      <c r="F439">
        <v>28</v>
      </c>
      <c r="G439" t="s">
        <v>26</v>
      </c>
      <c r="H439">
        <v>2564.35</v>
      </c>
      <c r="I439">
        <v>2765.79</v>
      </c>
      <c r="J439" t="s">
        <v>17</v>
      </c>
      <c r="K439">
        <v>0.17</v>
      </c>
      <c r="L439" t="s">
        <v>31</v>
      </c>
      <c r="M439" t="s">
        <v>19</v>
      </c>
      <c r="N439" t="s">
        <v>45</v>
      </c>
    </row>
    <row r="440" spans="2:14" x14ac:dyDescent="0.25">
      <c r="B440" s="1">
        <v>45048</v>
      </c>
      <c r="C440" t="s">
        <v>42</v>
      </c>
      <c r="D440" t="s">
        <v>15</v>
      </c>
      <c r="E440">
        <v>6833.11</v>
      </c>
      <c r="F440">
        <v>34</v>
      </c>
      <c r="G440" t="s">
        <v>16</v>
      </c>
      <c r="H440">
        <v>3764.14</v>
      </c>
      <c r="I440">
        <v>4100.3999999999996</v>
      </c>
      <c r="J440" t="s">
        <v>17</v>
      </c>
      <c r="K440">
        <v>0.05</v>
      </c>
      <c r="L440" t="s">
        <v>27</v>
      </c>
      <c r="M440" t="s">
        <v>22</v>
      </c>
      <c r="N440" t="s">
        <v>49</v>
      </c>
    </row>
    <row r="441" spans="2:14" x14ac:dyDescent="0.25">
      <c r="B441" s="1">
        <v>44972</v>
      </c>
      <c r="C441" t="s">
        <v>24</v>
      </c>
      <c r="D441" t="s">
        <v>25</v>
      </c>
      <c r="E441">
        <v>4140.7</v>
      </c>
      <c r="F441">
        <v>45</v>
      </c>
      <c r="G441" t="s">
        <v>29</v>
      </c>
      <c r="H441">
        <v>1588.04</v>
      </c>
      <c r="I441">
        <v>1703.6399999999901</v>
      </c>
      <c r="J441" t="s">
        <v>30</v>
      </c>
      <c r="K441">
        <v>0.2</v>
      </c>
      <c r="L441" t="s">
        <v>27</v>
      </c>
      <c r="M441" t="s">
        <v>22</v>
      </c>
      <c r="N441" t="s">
        <v>28</v>
      </c>
    </row>
    <row r="442" spans="2:14" x14ac:dyDescent="0.25">
      <c r="B442" s="1">
        <v>44990</v>
      </c>
      <c r="C442" t="s">
        <v>38</v>
      </c>
      <c r="D442" t="s">
        <v>15</v>
      </c>
      <c r="E442">
        <v>252.41</v>
      </c>
      <c r="F442">
        <v>48</v>
      </c>
      <c r="G442" t="s">
        <v>16</v>
      </c>
      <c r="H442">
        <v>2596.7199999999998</v>
      </c>
      <c r="I442">
        <v>2715.0499999999902</v>
      </c>
      <c r="J442" t="s">
        <v>17</v>
      </c>
      <c r="K442">
        <v>0.04</v>
      </c>
      <c r="L442" t="s">
        <v>18</v>
      </c>
      <c r="M442" t="s">
        <v>19</v>
      </c>
      <c r="N442" t="s">
        <v>40</v>
      </c>
    </row>
    <row r="443" spans="2:14" x14ac:dyDescent="0.25">
      <c r="B443" s="1">
        <v>45056</v>
      </c>
      <c r="C443" t="s">
        <v>24</v>
      </c>
      <c r="D443" t="s">
        <v>34</v>
      </c>
      <c r="E443">
        <v>5870.97</v>
      </c>
      <c r="F443">
        <v>47</v>
      </c>
      <c r="G443" t="s">
        <v>35</v>
      </c>
      <c r="H443">
        <v>4291.33</v>
      </c>
      <c r="I443">
        <v>4658.6400000000003</v>
      </c>
      <c r="J443" t="s">
        <v>30</v>
      </c>
      <c r="K443">
        <v>0.24</v>
      </c>
      <c r="L443" t="s">
        <v>31</v>
      </c>
      <c r="M443" t="s">
        <v>22</v>
      </c>
      <c r="N443" t="s">
        <v>50</v>
      </c>
    </row>
    <row r="444" spans="2:14" x14ac:dyDescent="0.25">
      <c r="B444" s="1">
        <v>45236</v>
      </c>
      <c r="C444" t="s">
        <v>24</v>
      </c>
      <c r="D444" t="s">
        <v>34</v>
      </c>
      <c r="E444">
        <v>2605.71</v>
      </c>
      <c r="F444">
        <v>25</v>
      </c>
      <c r="G444" t="s">
        <v>26</v>
      </c>
      <c r="H444">
        <v>2361.0500000000002</v>
      </c>
      <c r="I444">
        <v>2616.19</v>
      </c>
      <c r="J444" t="s">
        <v>30</v>
      </c>
      <c r="K444">
        <v>0.3</v>
      </c>
      <c r="L444" t="s">
        <v>27</v>
      </c>
      <c r="M444" t="s">
        <v>22</v>
      </c>
      <c r="N444" t="s">
        <v>50</v>
      </c>
    </row>
    <row r="445" spans="2:14" x14ac:dyDescent="0.25">
      <c r="B445" s="1">
        <v>45289</v>
      </c>
      <c r="C445" t="s">
        <v>24</v>
      </c>
      <c r="D445" t="s">
        <v>15</v>
      </c>
      <c r="E445">
        <v>4557.5200000000004</v>
      </c>
      <c r="F445">
        <v>10</v>
      </c>
      <c r="G445" t="s">
        <v>16</v>
      </c>
      <c r="H445">
        <v>1830.61</v>
      </c>
      <c r="I445">
        <v>2044.04</v>
      </c>
      <c r="J445" t="s">
        <v>30</v>
      </c>
      <c r="K445">
        <v>0.11</v>
      </c>
      <c r="L445" t="s">
        <v>18</v>
      </c>
      <c r="M445" t="s">
        <v>19</v>
      </c>
      <c r="N445" t="s">
        <v>45</v>
      </c>
    </row>
    <row r="446" spans="2:14" x14ac:dyDescent="0.25">
      <c r="B446" s="1">
        <v>45119</v>
      </c>
      <c r="C446" t="s">
        <v>38</v>
      </c>
      <c r="D446" t="s">
        <v>34</v>
      </c>
      <c r="E446">
        <v>9580.0499999999993</v>
      </c>
      <c r="F446">
        <v>14</v>
      </c>
      <c r="G446" t="s">
        <v>35</v>
      </c>
      <c r="H446">
        <v>2703.97</v>
      </c>
      <c r="I446">
        <v>2796.8799999999901</v>
      </c>
      <c r="J446" t="s">
        <v>30</v>
      </c>
      <c r="K446">
        <v>0.13</v>
      </c>
      <c r="L446" t="s">
        <v>27</v>
      </c>
      <c r="M446" t="s">
        <v>19</v>
      </c>
      <c r="N446" t="s">
        <v>48</v>
      </c>
    </row>
    <row r="447" spans="2:14" x14ac:dyDescent="0.25">
      <c r="B447" s="1">
        <v>45233</v>
      </c>
      <c r="C447" t="s">
        <v>24</v>
      </c>
      <c r="D447" t="s">
        <v>21</v>
      </c>
      <c r="E447">
        <v>4050.45</v>
      </c>
      <c r="F447">
        <v>42</v>
      </c>
      <c r="G447" t="s">
        <v>29</v>
      </c>
      <c r="H447">
        <v>3600.95</v>
      </c>
      <c r="I447">
        <v>3702.8399999999901</v>
      </c>
      <c r="J447" t="s">
        <v>17</v>
      </c>
      <c r="K447">
        <v>0.01</v>
      </c>
      <c r="L447" t="s">
        <v>18</v>
      </c>
      <c r="M447" t="s">
        <v>22</v>
      </c>
      <c r="N447" t="s">
        <v>47</v>
      </c>
    </row>
    <row r="448" spans="2:14" x14ac:dyDescent="0.25">
      <c r="B448" s="1">
        <v>45107</v>
      </c>
      <c r="C448" t="s">
        <v>14</v>
      </c>
      <c r="D448" t="s">
        <v>15</v>
      </c>
      <c r="E448">
        <v>8414.0400000000009</v>
      </c>
      <c r="F448">
        <v>46</v>
      </c>
      <c r="G448" t="s">
        <v>29</v>
      </c>
      <c r="H448">
        <v>2245.64</v>
      </c>
      <c r="I448">
        <v>2260.81</v>
      </c>
      <c r="J448" t="s">
        <v>30</v>
      </c>
      <c r="K448">
        <v>0</v>
      </c>
      <c r="L448" t="s">
        <v>18</v>
      </c>
      <c r="M448" t="s">
        <v>22</v>
      </c>
      <c r="N448" t="s">
        <v>20</v>
      </c>
    </row>
    <row r="449" spans="2:14" x14ac:dyDescent="0.25">
      <c r="B449" s="1">
        <v>45218</v>
      </c>
      <c r="C449" t="s">
        <v>38</v>
      </c>
      <c r="D449" t="s">
        <v>25</v>
      </c>
      <c r="E449">
        <v>1966.55</v>
      </c>
      <c r="F449">
        <v>30</v>
      </c>
      <c r="G449" t="s">
        <v>29</v>
      </c>
      <c r="H449">
        <v>4697.4399999999996</v>
      </c>
      <c r="I449">
        <v>4752.24</v>
      </c>
      <c r="J449" t="s">
        <v>30</v>
      </c>
      <c r="K449">
        <v>0.28000000000000003</v>
      </c>
      <c r="L449" t="s">
        <v>31</v>
      </c>
      <c r="M449" t="s">
        <v>19</v>
      </c>
      <c r="N449" t="s">
        <v>39</v>
      </c>
    </row>
    <row r="450" spans="2:14" x14ac:dyDescent="0.25">
      <c r="B450" s="1">
        <v>45208</v>
      </c>
      <c r="C450" t="s">
        <v>24</v>
      </c>
      <c r="D450" t="s">
        <v>21</v>
      </c>
      <c r="E450">
        <v>6757.36</v>
      </c>
      <c r="F450">
        <v>41</v>
      </c>
      <c r="G450" t="s">
        <v>35</v>
      </c>
      <c r="H450">
        <v>1509.98</v>
      </c>
      <c r="I450">
        <v>1792.83</v>
      </c>
      <c r="J450" t="s">
        <v>30</v>
      </c>
      <c r="K450">
        <v>0.04</v>
      </c>
      <c r="L450" t="s">
        <v>18</v>
      </c>
      <c r="M450" t="s">
        <v>22</v>
      </c>
      <c r="N450" t="s">
        <v>47</v>
      </c>
    </row>
    <row r="451" spans="2:14" x14ac:dyDescent="0.25">
      <c r="B451" s="1">
        <v>44955</v>
      </c>
      <c r="C451" t="s">
        <v>38</v>
      </c>
      <c r="D451" t="s">
        <v>15</v>
      </c>
      <c r="E451">
        <v>9772.3700000000008</v>
      </c>
      <c r="F451">
        <v>25</v>
      </c>
      <c r="G451" t="s">
        <v>26</v>
      </c>
      <c r="H451">
        <v>2403.54</v>
      </c>
      <c r="I451">
        <v>2850.56</v>
      </c>
      <c r="J451" t="s">
        <v>30</v>
      </c>
      <c r="K451">
        <v>0.13</v>
      </c>
      <c r="L451" t="s">
        <v>27</v>
      </c>
      <c r="M451" t="s">
        <v>19</v>
      </c>
      <c r="N451" t="s">
        <v>40</v>
      </c>
    </row>
    <row r="452" spans="2:14" x14ac:dyDescent="0.25">
      <c r="B452" s="1">
        <v>45075</v>
      </c>
      <c r="C452" t="s">
        <v>33</v>
      </c>
      <c r="D452" t="s">
        <v>25</v>
      </c>
      <c r="E452">
        <v>1108.74</v>
      </c>
      <c r="F452">
        <v>14</v>
      </c>
      <c r="G452" t="s">
        <v>16</v>
      </c>
      <c r="H452">
        <v>3796.79</v>
      </c>
      <c r="I452">
        <v>3947.5</v>
      </c>
      <c r="J452" t="s">
        <v>17</v>
      </c>
      <c r="K452">
        <v>0.24</v>
      </c>
      <c r="L452" t="s">
        <v>27</v>
      </c>
      <c r="M452" t="s">
        <v>19</v>
      </c>
      <c r="N452" t="s">
        <v>44</v>
      </c>
    </row>
    <row r="453" spans="2:14" x14ac:dyDescent="0.25">
      <c r="B453" s="1">
        <v>45193</v>
      </c>
      <c r="C453" t="s">
        <v>14</v>
      </c>
      <c r="D453" t="s">
        <v>34</v>
      </c>
      <c r="E453">
        <v>182.37</v>
      </c>
      <c r="F453">
        <v>35</v>
      </c>
      <c r="G453" t="s">
        <v>29</v>
      </c>
      <c r="H453">
        <v>3461.15</v>
      </c>
      <c r="I453">
        <v>3631.75</v>
      </c>
      <c r="J453" t="s">
        <v>17</v>
      </c>
      <c r="K453">
        <v>0.27</v>
      </c>
      <c r="L453" t="s">
        <v>31</v>
      </c>
      <c r="M453" t="s">
        <v>19</v>
      </c>
      <c r="N453" t="s">
        <v>46</v>
      </c>
    </row>
    <row r="454" spans="2:14" x14ac:dyDescent="0.25">
      <c r="B454" s="1">
        <v>45222</v>
      </c>
      <c r="C454" t="s">
        <v>24</v>
      </c>
      <c r="D454" t="s">
        <v>25</v>
      </c>
      <c r="E454">
        <v>4392.47</v>
      </c>
      <c r="F454">
        <v>48</v>
      </c>
      <c r="G454" t="s">
        <v>35</v>
      </c>
      <c r="H454">
        <v>4325.0200000000004</v>
      </c>
      <c r="I454">
        <v>4391.67</v>
      </c>
      <c r="J454" t="s">
        <v>17</v>
      </c>
      <c r="K454">
        <v>0.16</v>
      </c>
      <c r="L454" t="s">
        <v>31</v>
      </c>
      <c r="M454" t="s">
        <v>22</v>
      </c>
      <c r="N454" t="s">
        <v>28</v>
      </c>
    </row>
    <row r="455" spans="2:14" x14ac:dyDescent="0.25">
      <c r="B455" s="1">
        <v>44937</v>
      </c>
      <c r="C455" t="s">
        <v>33</v>
      </c>
      <c r="D455" t="s">
        <v>21</v>
      </c>
      <c r="E455">
        <v>1016.99</v>
      </c>
      <c r="F455">
        <v>34</v>
      </c>
      <c r="G455" t="s">
        <v>35</v>
      </c>
      <c r="H455">
        <v>4984.21</v>
      </c>
      <c r="I455">
        <v>5184.6400000000003</v>
      </c>
      <c r="J455" t="s">
        <v>30</v>
      </c>
      <c r="K455">
        <v>0.17</v>
      </c>
      <c r="L455" t="s">
        <v>18</v>
      </c>
      <c r="M455" t="s">
        <v>19</v>
      </c>
      <c r="N455" t="s">
        <v>37</v>
      </c>
    </row>
    <row r="456" spans="2:14" x14ac:dyDescent="0.25">
      <c r="B456" s="1">
        <v>45090</v>
      </c>
      <c r="C456" t="s">
        <v>33</v>
      </c>
      <c r="D456" t="s">
        <v>34</v>
      </c>
      <c r="E456">
        <v>7509.01</v>
      </c>
      <c r="F456">
        <v>10</v>
      </c>
      <c r="G456" t="s">
        <v>16</v>
      </c>
      <c r="H456">
        <v>2162.9499999999998</v>
      </c>
      <c r="I456">
        <v>2191.1899999999901</v>
      </c>
      <c r="J456" t="s">
        <v>17</v>
      </c>
      <c r="K456">
        <v>0.2</v>
      </c>
      <c r="L456" t="s">
        <v>31</v>
      </c>
      <c r="M456" t="s">
        <v>19</v>
      </c>
      <c r="N456" t="s">
        <v>36</v>
      </c>
    </row>
    <row r="457" spans="2:14" x14ac:dyDescent="0.25">
      <c r="B457" s="1">
        <v>45039</v>
      </c>
      <c r="C457" t="s">
        <v>38</v>
      </c>
      <c r="D457" t="s">
        <v>15</v>
      </c>
      <c r="E457">
        <v>9154.0300000000007</v>
      </c>
      <c r="F457">
        <v>35</v>
      </c>
      <c r="G457" t="s">
        <v>29</v>
      </c>
      <c r="H457">
        <v>600.20000000000005</v>
      </c>
      <c r="I457">
        <v>1059.82</v>
      </c>
      <c r="J457" t="s">
        <v>17</v>
      </c>
      <c r="K457">
        <v>0.28999999999999998</v>
      </c>
      <c r="L457" t="s">
        <v>27</v>
      </c>
      <c r="M457" t="s">
        <v>22</v>
      </c>
      <c r="N457" t="s">
        <v>40</v>
      </c>
    </row>
    <row r="458" spans="2:14" x14ac:dyDescent="0.25">
      <c r="B458" s="1">
        <v>45113</v>
      </c>
      <c r="C458" t="s">
        <v>33</v>
      </c>
      <c r="D458" t="s">
        <v>34</v>
      </c>
      <c r="E458">
        <v>4396.8100000000004</v>
      </c>
      <c r="F458">
        <v>11</v>
      </c>
      <c r="G458" t="s">
        <v>35</v>
      </c>
      <c r="H458">
        <v>200.56</v>
      </c>
      <c r="I458">
        <v>540.38</v>
      </c>
      <c r="J458" t="s">
        <v>30</v>
      </c>
      <c r="K458">
        <v>0.18</v>
      </c>
      <c r="L458" t="s">
        <v>27</v>
      </c>
      <c r="M458" t="s">
        <v>19</v>
      </c>
      <c r="N458" t="s">
        <v>36</v>
      </c>
    </row>
    <row r="459" spans="2:14" x14ac:dyDescent="0.25">
      <c r="B459" s="1">
        <v>45221</v>
      </c>
      <c r="C459" t="s">
        <v>14</v>
      </c>
      <c r="D459" t="s">
        <v>15</v>
      </c>
      <c r="E459">
        <v>2661.25</v>
      </c>
      <c r="F459">
        <v>11</v>
      </c>
      <c r="G459" t="s">
        <v>16</v>
      </c>
      <c r="H459">
        <v>3648.04</v>
      </c>
      <c r="I459">
        <v>4143.51</v>
      </c>
      <c r="J459" t="s">
        <v>17</v>
      </c>
      <c r="K459">
        <v>0.17</v>
      </c>
      <c r="L459" t="s">
        <v>31</v>
      </c>
      <c r="M459" t="s">
        <v>22</v>
      </c>
      <c r="N459" t="s">
        <v>20</v>
      </c>
    </row>
    <row r="460" spans="2:14" x14ac:dyDescent="0.25">
      <c r="B460" s="1">
        <v>45158</v>
      </c>
      <c r="C460" t="s">
        <v>14</v>
      </c>
      <c r="D460" t="s">
        <v>15</v>
      </c>
      <c r="E460">
        <v>4400.59</v>
      </c>
      <c r="F460">
        <v>21</v>
      </c>
      <c r="G460" t="s">
        <v>26</v>
      </c>
      <c r="H460">
        <v>4376.37</v>
      </c>
      <c r="I460">
        <v>4818.95</v>
      </c>
      <c r="J460" t="s">
        <v>30</v>
      </c>
      <c r="K460">
        <v>0</v>
      </c>
      <c r="L460" t="s">
        <v>31</v>
      </c>
      <c r="M460" t="s">
        <v>22</v>
      </c>
      <c r="N460" t="s">
        <v>20</v>
      </c>
    </row>
    <row r="461" spans="2:14" x14ac:dyDescent="0.25">
      <c r="B461" s="1">
        <v>45153</v>
      </c>
      <c r="C461" t="s">
        <v>42</v>
      </c>
      <c r="D461" t="s">
        <v>25</v>
      </c>
      <c r="E461">
        <v>7262.13</v>
      </c>
      <c r="F461">
        <v>21</v>
      </c>
      <c r="G461" t="s">
        <v>26</v>
      </c>
      <c r="H461">
        <v>1142.53</v>
      </c>
      <c r="I461">
        <v>1384.3</v>
      </c>
      <c r="J461" t="s">
        <v>17</v>
      </c>
      <c r="K461">
        <v>0.02</v>
      </c>
      <c r="L461" t="s">
        <v>31</v>
      </c>
      <c r="M461" t="s">
        <v>22</v>
      </c>
      <c r="N461" t="s">
        <v>43</v>
      </c>
    </row>
    <row r="462" spans="2:14" x14ac:dyDescent="0.25">
      <c r="B462" s="1">
        <v>45236</v>
      </c>
      <c r="C462" t="s">
        <v>14</v>
      </c>
      <c r="D462" t="s">
        <v>25</v>
      </c>
      <c r="E462">
        <v>189.64</v>
      </c>
      <c r="F462">
        <v>22</v>
      </c>
      <c r="G462" t="s">
        <v>26</v>
      </c>
      <c r="H462">
        <v>834.32</v>
      </c>
      <c r="I462">
        <v>1098.97</v>
      </c>
      <c r="J462" t="s">
        <v>17</v>
      </c>
      <c r="K462">
        <v>0.17</v>
      </c>
      <c r="L462" t="s">
        <v>18</v>
      </c>
      <c r="M462" t="s">
        <v>19</v>
      </c>
      <c r="N462" t="s">
        <v>32</v>
      </c>
    </row>
    <row r="463" spans="2:14" x14ac:dyDescent="0.25">
      <c r="B463" s="1">
        <v>45024</v>
      </c>
      <c r="C463" t="s">
        <v>33</v>
      </c>
      <c r="D463" t="s">
        <v>25</v>
      </c>
      <c r="E463">
        <v>5935.59</v>
      </c>
      <c r="F463">
        <v>45</v>
      </c>
      <c r="G463" t="s">
        <v>29</v>
      </c>
      <c r="H463">
        <v>357.92</v>
      </c>
      <c r="I463">
        <v>461.3</v>
      </c>
      <c r="J463" t="s">
        <v>17</v>
      </c>
      <c r="K463">
        <v>0.28000000000000003</v>
      </c>
      <c r="L463" t="s">
        <v>18</v>
      </c>
      <c r="M463" t="s">
        <v>19</v>
      </c>
      <c r="N463" t="s">
        <v>44</v>
      </c>
    </row>
    <row r="464" spans="2:14" x14ac:dyDescent="0.25">
      <c r="B464" s="1">
        <v>44981</v>
      </c>
      <c r="C464" t="s">
        <v>14</v>
      </c>
      <c r="D464" t="s">
        <v>21</v>
      </c>
      <c r="E464">
        <v>6171.59</v>
      </c>
      <c r="F464">
        <v>7</v>
      </c>
      <c r="G464" t="s">
        <v>16</v>
      </c>
      <c r="H464">
        <v>4122.38</v>
      </c>
      <c r="I464">
        <v>4358.78</v>
      </c>
      <c r="J464" t="s">
        <v>17</v>
      </c>
      <c r="K464">
        <v>0.26</v>
      </c>
      <c r="L464" t="s">
        <v>27</v>
      </c>
      <c r="M464" t="s">
        <v>22</v>
      </c>
      <c r="N464" t="s">
        <v>23</v>
      </c>
    </row>
    <row r="465" spans="2:14" x14ac:dyDescent="0.25">
      <c r="B465" s="1">
        <v>45037</v>
      </c>
      <c r="C465" t="s">
        <v>38</v>
      </c>
      <c r="D465" t="s">
        <v>21</v>
      </c>
      <c r="E465">
        <v>6413.11</v>
      </c>
      <c r="F465">
        <v>17</v>
      </c>
      <c r="G465" t="s">
        <v>16</v>
      </c>
      <c r="H465">
        <v>1591.34</v>
      </c>
      <c r="I465">
        <v>2043.82</v>
      </c>
      <c r="J465" t="s">
        <v>30</v>
      </c>
      <c r="K465">
        <v>0.28999999999999998</v>
      </c>
      <c r="L465" t="s">
        <v>18</v>
      </c>
      <c r="M465" t="s">
        <v>22</v>
      </c>
      <c r="N465" t="s">
        <v>41</v>
      </c>
    </row>
    <row r="466" spans="2:14" x14ac:dyDescent="0.25">
      <c r="B466" s="1">
        <v>45078</v>
      </c>
      <c r="C466" t="s">
        <v>42</v>
      </c>
      <c r="D466" t="s">
        <v>25</v>
      </c>
      <c r="E466">
        <v>2496.02</v>
      </c>
      <c r="F466">
        <v>2</v>
      </c>
      <c r="G466" t="s">
        <v>35</v>
      </c>
      <c r="H466">
        <v>2038.4</v>
      </c>
      <c r="I466">
        <v>2073.3200000000002</v>
      </c>
      <c r="J466" t="s">
        <v>30</v>
      </c>
      <c r="K466">
        <v>0.16</v>
      </c>
      <c r="L466" t="s">
        <v>18</v>
      </c>
      <c r="M466" t="s">
        <v>22</v>
      </c>
      <c r="N466" t="s">
        <v>43</v>
      </c>
    </row>
    <row r="467" spans="2:14" x14ac:dyDescent="0.25">
      <c r="B467" s="1">
        <v>45172</v>
      </c>
      <c r="C467" t="s">
        <v>33</v>
      </c>
      <c r="D467" t="s">
        <v>21</v>
      </c>
      <c r="E467">
        <v>7169.12</v>
      </c>
      <c r="F467">
        <v>12</v>
      </c>
      <c r="G467" t="s">
        <v>35</v>
      </c>
      <c r="H467">
        <v>2538.61</v>
      </c>
      <c r="I467">
        <v>2971.75</v>
      </c>
      <c r="J467" t="s">
        <v>17</v>
      </c>
      <c r="K467">
        <v>0.24</v>
      </c>
      <c r="L467" t="s">
        <v>18</v>
      </c>
      <c r="M467" t="s">
        <v>19</v>
      </c>
      <c r="N467" t="s">
        <v>37</v>
      </c>
    </row>
    <row r="468" spans="2:14" x14ac:dyDescent="0.25">
      <c r="B468" s="1">
        <v>44995</v>
      </c>
      <c r="C468" t="s">
        <v>42</v>
      </c>
      <c r="D468" t="s">
        <v>34</v>
      </c>
      <c r="E468">
        <v>1004.78</v>
      </c>
      <c r="F468">
        <v>42</v>
      </c>
      <c r="G468" t="s">
        <v>35</v>
      </c>
      <c r="H468">
        <v>4205.29</v>
      </c>
      <c r="I468">
        <v>4382.3500000000004</v>
      </c>
      <c r="J468" t="s">
        <v>30</v>
      </c>
      <c r="K468">
        <v>0.25</v>
      </c>
      <c r="L468" t="s">
        <v>18</v>
      </c>
      <c r="M468" t="s">
        <v>22</v>
      </c>
      <c r="N468" t="s">
        <v>52</v>
      </c>
    </row>
    <row r="469" spans="2:14" x14ac:dyDescent="0.25">
      <c r="B469" s="1">
        <v>45238</v>
      </c>
      <c r="C469" t="s">
        <v>33</v>
      </c>
      <c r="D469" t="s">
        <v>34</v>
      </c>
      <c r="E469">
        <v>2072.7800000000002</v>
      </c>
      <c r="F469">
        <v>18</v>
      </c>
      <c r="G469" t="s">
        <v>16</v>
      </c>
      <c r="H469">
        <v>3271.62</v>
      </c>
      <c r="I469">
        <v>3722.38</v>
      </c>
      <c r="J469" t="s">
        <v>17</v>
      </c>
      <c r="K469">
        <v>0.19</v>
      </c>
      <c r="L469" t="s">
        <v>27</v>
      </c>
      <c r="M469" t="s">
        <v>22</v>
      </c>
      <c r="N469" t="s">
        <v>36</v>
      </c>
    </row>
    <row r="470" spans="2:14" x14ac:dyDescent="0.25">
      <c r="B470" s="1">
        <v>45215</v>
      </c>
      <c r="C470" t="s">
        <v>38</v>
      </c>
      <c r="D470" t="s">
        <v>21</v>
      </c>
      <c r="E470">
        <v>8786.9500000000007</v>
      </c>
      <c r="F470">
        <v>11</v>
      </c>
      <c r="G470" t="s">
        <v>35</v>
      </c>
      <c r="H470">
        <v>3094.57</v>
      </c>
      <c r="I470">
        <v>3565.6</v>
      </c>
      <c r="J470" t="s">
        <v>17</v>
      </c>
      <c r="K470">
        <v>0.1</v>
      </c>
      <c r="L470" t="s">
        <v>31</v>
      </c>
      <c r="M470" t="s">
        <v>22</v>
      </c>
      <c r="N470" t="s">
        <v>41</v>
      </c>
    </row>
    <row r="471" spans="2:14" x14ac:dyDescent="0.25">
      <c r="B471" s="1">
        <v>45176</v>
      </c>
      <c r="C471" t="s">
        <v>42</v>
      </c>
      <c r="D471" t="s">
        <v>21</v>
      </c>
      <c r="E471">
        <v>7413.36</v>
      </c>
      <c r="F471">
        <v>16</v>
      </c>
      <c r="G471" t="s">
        <v>16</v>
      </c>
      <c r="H471">
        <v>919.58</v>
      </c>
      <c r="I471">
        <v>1258.3</v>
      </c>
      <c r="J471" t="s">
        <v>17</v>
      </c>
      <c r="K471">
        <v>0.14000000000000001</v>
      </c>
      <c r="L471" t="s">
        <v>27</v>
      </c>
      <c r="M471" t="s">
        <v>19</v>
      </c>
      <c r="N471" t="s">
        <v>51</v>
      </c>
    </row>
    <row r="472" spans="2:14" x14ac:dyDescent="0.25">
      <c r="B472" s="1">
        <v>44962</v>
      </c>
      <c r="C472" t="s">
        <v>24</v>
      </c>
      <c r="D472" t="s">
        <v>34</v>
      </c>
      <c r="E472">
        <v>236.08</v>
      </c>
      <c r="F472">
        <v>49</v>
      </c>
      <c r="G472" t="s">
        <v>16</v>
      </c>
      <c r="H472">
        <v>2590.29</v>
      </c>
      <c r="I472">
        <v>2925.86</v>
      </c>
      <c r="J472" t="s">
        <v>17</v>
      </c>
      <c r="K472">
        <v>0.26</v>
      </c>
      <c r="L472" t="s">
        <v>18</v>
      </c>
      <c r="M472" t="s">
        <v>22</v>
      </c>
      <c r="N472" t="s">
        <v>50</v>
      </c>
    </row>
    <row r="473" spans="2:14" x14ac:dyDescent="0.25">
      <c r="B473" s="1">
        <v>45165</v>
      </c>
      <c r="C473" t="s">
        <v>33</v>
      </c>
      <c r="D473" t="s">
        <v>15</v>
      </c>
      <c r="E473">
        <v>2558.92</v>
      </c>
      <c r="F473">
        <v>18</v>
      </c>
      <c r="G473" t="s">
        <v>26</v>
      </c>
      <c r="H473">
        <v>3591.14</v>
      </c>
      <c r="I473">
        <v>3822.99</v>
      </c>
      <c r="J473" t="s">
        <v>17</v>
      </c>
      <c r="K473">
        <v>0.09</v>
      </c>
      <c r="L473" t="s">
        <v>31</v>
      </c>
      <c r="M473" t="s">
        <v>19</v>
      </c>
      <c r="N473" t="s">
        <v>53</v>
      </c>
    </row>
    <row r="474" spans="2:14" x14ac:dyDescent="0.25">
      <c r="B474" s="1">
        <v>45074</v>
      </c>
      <c r="C474" t="s">
        <v>24</v>
      </c>
      <c r="D474" t="s">
        <v>34</v>
      </c>
      <c r="E474">
        <v>2222.62</v>
      </c>
      <c r="F474">
        <v>35</v>
      </c>
      <c r="G474" t="s">
        <v>35</v>
      </c>
      <c r="H474">
        <v>4867.6400000000003</v>
      </c>
      <c r="I474">
        <v>5287.05</v>
      </c>
      <c r="J474" t="s">
        <v>17</v>
      </c>
      <c r="K474">
        <v>0.28000000000000003</v>
      </c>
      <c r="L474" t="s">
        <v>31</v>
      </c>
      <c r="M474" t="s">
        <v>19</v>
      </c>
      <c r="N474" t="s">
        <v>50</v>
      </c>
    </row>
    <row r="475" spans="2:14" x14ac:dyDescent="0.25">
      <c r="B475" s="1">
        <v>45153</v>
      </c>
      <c r="C475" t="s">
        <v>42</v>
      </c>
      <c r="D475" t="s">
        <v>34</v>
      </c>
      <c r="E475">
        <v>2780.98</v>
      </c>
      <c r="F475">
        <v>26</v>
      </c>
      <c r="G475" t="s">
        <v>26</v>
      </c>
      <c r="H475">
        <v>1046.96</v>
      </c>
      <c r="I475">
        <v>1528.15</v>
      </c>
      <c r="J475" t="s">
        <v>30</v>
      </c>
      <c r="K475">
        <v>7.0000000000000007E-2</v>
      </c>
      <c r="L475" t="s">
        <v>31</v>
      </c>
      <c r="M475" t="s">
        <v>22</v>
      </c>
      <c r="N475" t="s">
        <v>52</v>
      </c>
    </row>
    <row r="476" spans="2:14" x14ac:dyDescent="0.25">
      <c r="B476" s="1">
        <v>45170</v>
      </c>
      <c r="C476" t="s">
        <v>24</v>
      </c>
      <c r="D476" t="s">
        <v>21</v>
      </c>
      <c r="E476">
        <v>2550.84</v>
      </c>
      <c r="F476">
        <v>16</v>
      </c>
      <c r="G476" t="s">
        <v>29</v>
      </c>
      <c r="H476">
        <v>97.24</v>
      </c>
      <c r="I476">
        <v>487.03</v>
      </c>
      <c r="J476" t="s">
        <v>30</v>
      </c>
      <c r="K476">
        <v>0.22</v>
      </c>
      <c r="L476" t="s">
        <v>27</v>
      </c>
      <c r="M476" t="s">
        <v>22</v>
      </c>
      <c r="N476" t="s">
        <v>47</v>
      </c>
    </row>
    <row r="477" spans="2:14" x14ac:dyDescent="0.25">
      <c r="B477" s="1">
        <v>45263</v>
      </c>
      <c r="C477" t="s">
        <v>24</v>
      </c>
      <c r="D477" t="s">
        <v>34</v>
      </c>
      <c r="E477">
        <v>719.01</v>
      </c>
      <c r="F477">
        <v>6</v>
      </c>
      <c r="G477" t="s">
        <v>29</v>
      </c>
      <c r="H477">
        <v>422.74</v>
      </c>
      <c r="I477">
        <v>737.49</v>
      </c>
      <c r="J477" t="s">
        <v>17</v>
      </c>
      <c r="K477">
        <v>0.19</v>
      </c>
      <c r="L477" t="s">
        <v>31</v>
      </c>
      <c r="M477" t="s">
        <v>22</v>
      </c>
      <c r="N477" t="s">
        <v>50</v>
      </c>
    </row>
    <row r="478" spans="2:14" x14ac:dyDescent="0.25">
      <c r="B478" s="1">
        <v>45291</v>
      </c>
      <c r="C478" t="s">
        <v>42</v>
      </c>
      <c r="D478" t="s">
        <v>21</v>
      </c>
      <c r="E478">
        <v>4643.51</v>
      </c>
      <c r="F478">
        <v>44</v>
      </c>
      <c r="G478" t="s">
        <v>29</v>
      </c>
      <c r="H478">
        <v>1910.47</v>
      </c>
      <c r="I478">
        <v>2217.8000000000002</v>
      </c>
      <c r="J478" t="s">
        <v>30</v>
      </c>
      <c r="K478">
        <v>0.22</v>
      </c>
      <c r="L478" t="s">
        <v>27</v>
      </c>
      <c r="M478" t="s">
        <v>19</v>
      </c>
      <c r="N478" t="s">
        <v>51</v>
      </c>
    </row>
    <row r="479" spans="2:14" x14ac:dyDescent="0.25">
      <c r="B479" s="1">
        <v>45127</v>
      </c>
      <c r="C479" t="s">
        <v>38</v>
      </c>
      <c r="D479" t="s">
        <v>21</v>
      </c>
      <c r="E479">
        <v>7354.06</v>
      </c>
      <c r="F479">
        <v>43</v>
      </c>
      <c r="G479" t="s">
        <v>16</v>
      </c>
      <c r="H479">
        <v>4111.7</v>
      </c>
      <c r="I479">
        <v>4537.9399999999996</v>
      </c>
      <c r="J479" t="s">
        <v>17</v>
      </c>
      <c r="K479">
        <v>0.13</v>
      </c>
      <c r="L479" t="s">
        <v>27</v>
      </c>
      <c r="M479" t="s">
        <v>19</v>
      </c>
      <c r="N479" t="s">
        <v>41</v>
      </c>
    </row>
    <row r="480" spans="2:14" x14ac:dyDescent="0.25">
      <c r="B480" s="1">
        <v>45080</v>
      </c>
      <c r="C480" t="s">
        <v>24</v>
      </c>
      <c r="D480" t="s">
        <v>25</v>
      </c>
      <c r="E480">
        <v>6106.64</v>
      </c>
      <c r="F480">
        <v>47</v>
      </c>
      <c r="G480" t="s">
        <v>16</v>
      </c>
      <c r="H480">
        <v>85.35</v>
      </c>
      <c r="I480">
        <v>360.539999999999</v>
      </c>
      <c r="J480" t="s">
        <v>30</v>
      </c>
      <c r="K480">
        <v>0.28000000000000003</v>
      </c>
      <c r="L480" t="s">
        <v>18</v>
      </c>
      <c r="M480" t="s">
        <v>19</v>
      </c>
      <c r="N480" t="s">
        <v>28</v>
      </c>
    </row>
    <row r="481" spans="2:14" x14ac:dyDescent="0.25">
      <c r="B481" s="1">
        <v>44999</v>
      </c>
      <c r="C481" t="s">
        <v>24</v>
      </c>
      <c r="D481" t="s">
        <v>34</v>
      </c>
      <c r="E481">
        <v>6761.43</v>
      </c>
      <c r="F481">
        <v>47</v>
      </c>
      <c r="G481" t="s">
        <v>16</v>
      </c>
      <c r="H481">
        <v>2310.8200000000002</v>
      </c>
      <c r="I481">
        <v>2714.71</v>
      </c>
      <c r="J481" t="s">
        <v>30</v>
      </c>
      <c r="K481">
        <v>0.19</v>
      </c>
      <c r="L481" t="s">
        <v>18</v>
      </c>
      <c r="M481" t="s">
        <v>22</v>
      </c>
      <c r="N481" t="s">
        <v>50</v>
      </c>
    </row>
    <row r="482" spans="2:14" x14ac:dyDescent="0.25">
      <c r="B482" s="1">
        <v>45127</v>
      </c>
      <c r="C482" t="s">
        <v>38</v>
      </c>
      <c r="D482" t="s">
        <v>15</v>
      </c>
      <c r="E482">
        <v>903.38</v>
      </c>
      <c r="F482">
        <v>48</v>
      </c>
      <c r="G482" t="s">
        <v>35</v>
      </c>
      <c r="H482">
        <v>1679.69</v>
      </c>
      <c r="I482">
        <v>1939.04</v>
      </c>
      <c r="J482" t="s">
        <v>30</v>
      </c>
      <c r="K482">
        <v>0.09</v>
      </c>
      <c r="L482" t="s">
        <v>31</v>
      </c>
      <c r="M482" t="s">
        <v>19</v>
      </c>
      <c r="N482" t="s">
        <v>40</v>
      </c>
    </row>
    <row r="483" spans="2:14" x14ac:dyDescent="0.25">
      <c r="B483" s="1">
        <v>45222</v>
      </c>
      <c r="C483" t="s">
        <v>24</v>
      </c>
      <c r="D483" t="s">
        <v>25</v>
      </c>
      <c r="E483">
        <v>9519.76</v>
      </c>
      <c r="F483">
        <v>42</v>
      </c>
      <c r="G483" t="s">
        <v>26</v>
      </c>
      <c r="H483">
        <v>309.77999999999997</v>
      </c>
      <c r="I483">
        <v>350.38</v>
      </c>
      <c r="J483" t="s">
        <v>17</v>
      </c>
      <c r="K483">
        <v>0.19</v>
      </c>
      <c r="L483" t="s">
        <v>31</v>
      </c>
      <c r="M483" t="s">
        <v>22</v>
      </c>
      <c r="N483" t="s">
        <v>28</v>
      </c>
    </row>
    <row r="484" spans="2:14" x14ac:dyDescent="0.25">
      <c r="B484" s="1">
        <v>44943</v>
      </c>
      <c r="C484" t="s">
        <v>24</v>
      </c>
      <c r="D484" t="s">
        <v>21</v>
      </c>
      <c r="E484">
        <v>8401.07</v>
      </c>
      <c r="F484">
        <v>12</v>
      </c>
      <c r="G484" t="s">
        <v>16</v>
      </c>
      <c r="H484">
        <v>2278.67</v>
      </c>
      <c r="I484">
        <v>2476.8000000000002</v>
      </c>
      <c r="J484" t="s">
        <v>30</v>
      </c>
      <c r="K484">
        <v>0.09</v>
      </c>
      <c r="L484" t="s">
        <v>18</v>
      </c>
      <c r="M484" t="s">
        <v>22</v>
      </c>
      <c r="N484" t="s">
        <v>47</v>
      </c>
    </row>
    <row r="485" spans="2:14" x14ac:dyDescent="0.25">
      <c r="B485" s="1">
        <v>45055</v>
      </c>
      <c r="C485" t="s">
        <v>24</v>
      </c>
      <c r="D485" t="s">
        <v>21</v>
      </c>
      <c r="E485">
        <v>8070.39</v>
      </c>
      <c r="F485">
        <v>13</v>
      </c>
      <c r="G485" t="s">
        <v>26</v>
      </c>
      <c r="H485">
        <v>1311.01</v>
      </c>
      <c r="I485">
        <v>1538.79</v>
      </c>
      <c r="J485" t="s">
        <v>17</v>
      </c>
      <c r="K485">
        <v>0.09</v>
      </c>
      <c r="L485" t="s">
        <v>27</v>
      </c>
      <c r="M485" t="s">
        <v>22</v>
      </c>
      <c r="N485" t="s">
        <v>47</v>
      </c>
    </row>
    <row r="486" spans="2:14" x14ac:dyDescent="0.25">
      <c r="B486" s="1">
        <v>45143</v>
      </c>
      <c r="C486" t="s">
        <v>14</v>
      </c>
      <c r="D486" t="s">
        <v>15</v>
      </c>
      <c r="E486">
        <v>8247.5400000000009</v>
      </c>
      <c r="F486">
        <v>4</v>
      </c>
      <c r="G486" t="s">
        <v>26</v>
      </c>
      <c r="H486">
        <v>1791.83</v>
      </c>
      <c r="I486">
        <v>1871.22</v>
      </c>
      <c r="J486" t="s">
        <v>17</v>
      </c>
      <c r="K486">
        <v>0.12</v>
      </c>
      <c r="L486" t="s">
        <v>27</v>
      </c>
      <c r="M486" t="s">
        <v>19</v>
      </c>
      <c r="N486" t="s">
        <v>20</v>
      </c>
    </row>
    <row r="487" spans="2:14" x14ac:dyDescent="0.25">
      <c r="B487" s="1">
        <v>44987</v>
      </c>
      <c r="C487" t="s">
        <v>38</v>
      </c>
      <c r="D487" t="s">
        <v>21</v>
      </c>
      <c r="E487">
        <v>9333.83</v>
      </c>
      <c r="F487">
        <v>39</v>
      </c>
      <c r="G487" t="s">
        <v>26</v>
      </c>
      <c r="H487">
        <v>3542.8</v>
      </c>
      <c r="I487">
        <v>3603.02</v>
      </c>
      <c r="J487" t="s">
        <v>17</v>
      </c>
      <c r="K487">
        <v>0.26</v>
      </c>
      <c r="L487" t="s">
        <v>18</v>
      </c>
      <c r="M487" t="s">
        <v>19</v>
      </c>
      <c r="N487" t="s">
        <v>41</v>
      </c>
    </row>
    <row r="488" spans="2:14" x14ac:dyDescent="0.25">
      <c r="B488" s="1">
        <v>45030</v>
      </c>
      <c r="C488" t="s">
        <v>24</v>
      </c>
      <c r="D488" t="s">
        <v>34</v>
      </c>
      <c r="E488">
        <v>5488.11</v>
      </c>
      <c r="F488">
        <v>2</v>
      </c>
      <c r="G488" t="s">
        <v>35</v>
      </c>
      <c r="H488">
        <v>2631.68</v>
      </c>
      <c r="I488">
        <v>2904.06</v>
      </c>
      <c r="J488" t="s">
        <v>30</v>
      </c>
      <c r="K488">
        <v>0.15</v>
      </c>
      <c r="L488" t="s">
        <v>27</v>
      </c>
      <c r="M488" t="s">
        <v>19</v>
      </c>
      <c r="N488" t="s">
        <v>50</v>
      </c>
    </row>
    <row r="489" spans="2:14" x14ac:dyDescent="0.25">
      <c r="B489" s="1">
        <v>44968</v>
      </c>
      <c r="C489" t="s">
        <v>38</v>
      </c>
      <c r="D489" t="s">
        <v>25</v>
      </c>
      <c r="E489">
        <v>2082.79</v>
      </c>
      <c r="F489">
        <v>26</v>
      </c>
      <c r="G489" t="s">
        <v>35</v>
      </c>
      <c r="H489">
        <v>667</v>
      </c>
      <c r="I489">
        <v>718.72</v>
      </c>
      <c r="J489" t="s">
        <v>30</v>
      </c>
      <c r="K489">
        <v>0.2</v>
      </c>
      <c r="L489" t="s">
        <v>18</v>
      </c>
      <c r="M489" t="s">
        <v>22</v>
      </c>
      <c r="N489" t="s">
        <v>39</v>
      </c>
    </row>
    <row r="490" spans="2:14" x14ac:dyDescent="0.25">
      <c r="B490" s="1">
        <v>44951</v>
      </c>
      <c r="C490" t="s">
        <v>33</v>
      </c>
      <c r="D490" t="s">
        <v>21</v>
      </c>
      <c r="E490">
        <v>6206.16</v>
      </c>
      <c r="F490">
        <v>27</v>
      </c>
      <c r="G490" t="s">
        <v>29</v>
      </c>
      <c r="H490">
        <v>4809</v>
      </c>
      <c r="I490">
        <v>4967.4399999999996</v>
      </c>
      <c r="J490" t="s">
        <v>30</v>
      </c>
      <c r="K490">
        <v>0.12</v>
      </c>
      <c r="L490" t="s">
        <v>18</v>
      </c>
      <c r="M490" t="s">
        <v>19</v>
      </c>
      <c r="N490" t="s">
        <v>37</v>
      </c>
    </row>
    <row r="491" spans="2:14" x14ac:dyDescent="0.25">
      <c r="B491" s="1">
        <v>44965</v>
      </c>
      <c r="C491" t="s">
        <v>33</v>
      </c>
      <c r="D491" t="s">
        <v>21</v>
      </c>
      <c r="E491">
        <v>7454.53</v>
      </c>
      <c r="F491">
        <v>27</v>
      </c>
      <c r="G491" t="s">
        <v>29</v>
      </c>
      <c r="H491">
        <v>3197.76</v>
      </c>
      <c r="I491">
        <v>3572.61</v>
      </c>
      <c r="J491" t="s">
        <v>17</v>
      </c>
      <c r="K491">
        <v>0.08</v>
      </c>
      <c r="L491" t="s">
        <v>31</v>
      </c>
      <c r="M491" t="s">
        <v>19</v>
      </c>
      <c r="N491" t="s">
        <v>37</v>
      </c>
    </row>
    <row r="492" spans="2:14" x14ac:dyDescent="0.25">
      <c r="B492" s="1">
        <v>45217</v>
      </c>
      <c r="C492" t="s">
        <v>24</v>
      </c>
      <c r="D492" t="s">
        <v>15</v>
      </c>
      <c r="E492">
        <v>7405.38</v>
      </c>
      <c r="F492">
        <v>15</v>
      </c>
      <c r="G492" t="s">
        <v>26</v>
      </c>
      <c r="H492">
        <v>3841.05</v>
      </c>
      <c r="I492">
        <v>4323.62</v>
      </c>
      <c r="J492" t="s">
        <v>17</v>
      </c>
      <c r="K492">
        <v>0.28999999999999998</v>
      </c>
      <c r="L492" t="s">
        <v>31</v>
      </c>
      <c r="M492" t="s">
        <v>22</v>
      </c>
      <c r="N492" t="s">
        <v>45</v>
      </c>
    </row>
    <row r="493" spans="2:14" x14ac:dyDescent="0.25">
      <c r="B493" s="1">
        <v>45057</v>
      </c>
      <c r="C493" t="s">
        <v>38</v>
      </c>
      <c r="D493" t="s">
        <v>34</v>
      </c>
      <c r="E493">
        <v>5262.35</v>
      </c>
      <c r="F493">
        <v>8</v>
      </c>
      <c r="G493" t="s">
        <v>29</v>
      </c>
      <c r="H493">
        <v>442.11</v>
      </c>
      <c r="I493">
        <v>803.87</v>
      </c>
      <c r="J493" t="s">
        <v>30</v>
      </c>
      <c r="K493">
        <v>0.18</v>
      </c>
      <c r="L493" t="s">
        <v>18</v>
      </c>
      <c r="M493" t="s">
        <v>22</v>
      </c>
      <c r="N493" t="s">
        <v>48</v>
      </c>
    </row>
    <row r="494" spans="2:14" x14ac:dyDescent="0.25">
      <c r="B494" s="1">
        <v>45155</v>
      </c>
      <c r="C494" t="s">
        <v>38</v>
      </c>
      <c r="D494" t="s">
        <v>21</v>
      </c>
      <c r="E494">
        <v>777.74</v>
      </c>
      <c r="F494">
        <v>7</v>
      </c>
      <c r="G494" t="s">
        <v>26</v>
      </c>
      <c r="H494">
        <v>282.94</v>
      </c>
      <c r="I494">
        <v>779.32999999999902</v>
      </c>
      <c r="J494" t="s">
        <v>17</v>
      </c>
      <c r="K494">
        <v>0.28000000000000003</v>
      </c>
      <c r="L494" t="s">
        <v>31</v>
      </c>
      <c r="M494" t="s">
        <v>19</v>
      </c>
      <c r="N494" t="s">
        <v>41</v>
      </c>
    </row>
    <row r="495" spans="2:14" x14ac:dyDescent="0.25">
      <c r="B495" s="1">
        <v>45034</v>
      </c>
      <c r="C495" t="s">
        <v>38</v>
      </c>
      <c r="D495" t="s">
        <v>15</v>
      </c>
      <c r="E495">
        <v>3774.02</v>
      </c>
      <c r="F495">
        <v>47</v>
      </c>
      <c r="G495" t="s">
        <v>35</v>
      </c>
      <c r="H495">
        <v>146.27000000000001</v>
      </c>
      <c r="I495">
        <v>498.46</v>
      </c>
      <c r="J495" t="s">
        <v>30</v>
      </c>
      <c r="K495">
        <v>0.06</v>
      </c>
      <c r="L495" t="s">
        <v>18</v>
      </c>
      <c r="M495" t="s">
        <v>22</v>
      </c>
      <c r="N495" t="s">
        <v>40</v>
      </c>
    </row>
    <row r="496" spans="2:14" x14ac:dyDescent="0.25">
      <c r="B496" s="1">
        <v>45098</v>
      </c>
      <c r="C496" t="s">
        <v>14</v>
      </c>
      <c r="D496" t="s">
        <v>21</v>
      </c>
      <c r="E496">
        <v>9215.59</v>
      </c>
      <c r="F496">
        <v>46</v>
      </c>
      <c r="G496" t="s">
        <v>35</v>
      </c>
      <c r="H496">
        <v>984.53</v>
      </c>
      <c r="I496">
        <v>1138.49</v>
      </c>
      <c r="J496" t="s">
        <v>30</v>
      </c>
      <c r="K496">
        <v>0.04</v>
      </c>
      <c r="L496" t="s">
        <v>27</v>
      </c>
      <c r="M496" t="s">
        <v>19</v>
      </c>
      <c r="N496" t="s">
        <v>23</v>
      </c>
    </row>
    <row r="497" spans="2:14" x14ac:dyDescent="0.25">
      <c r="B497" s="1">
        <v>45028</v>
      </c>
      <c r="C497" t="s">
        <v>33</v>
      </c>
      <c r="D497" t="s">
        <v>15</v>
      </c>
      <c r="E497">
        <v>5886.04</v>
      </c>
      <c r="F497">
        <v>40</v>
      </c>
      <c r="G497" t="s">
        <v>35</v>
      </c>
      <c r="H497">
        <v>2101.3200000000002</v>
      </c>
      <c r="I497">
        <v>2440.63</v>
      </c>
      <c r="J497" t="s">
        <v>30</v>
      </c>
      <c r="K497">
        <v>0.26</v>
      </c>
      <c r="L497" t="s">
        <v>27</v>
      </c>
      <c r="M497" t="s">
        <v>22</v>
      </c>
      <c r="N497" t="s">
        <v>53</v>
      </c>
    </row>
    <row r="498" spans="2:14" x14ac:dyDescent="0.25">
      <c r="B498" s="1">
        <v>45280</v>
      </c>
      <c r="C498" t="s">
        <v>38</v>
      </c>
      <c r="D498" t="s">
        <v>15</v>
      </c>
      <c r="E498">
        <v>5429.49</v>
      </c>
      <c r="F498">
        <v>12</v>
      </c>
      <c r="G498" t="s">
        <v>16</v>
      </c>
      <c r="H498">
        <v>4682.34</v>
      </c>
      <c r="I498">
        <v>5036.3999999999996</v>
      </c>
      <c r="J498" t="s">
        <v>30</v>
      </c>
      <c r="K498">
        <v>0.2</v>
      </c>
      <c r="L498" t="s">
        <v>27</v>
      </c>
      <c r="M498" t="s">
        <v>22</v>
      </c>
      <c r="N498" t="s">
        <v>40</v>
      </c>
    </row>
    <row r="499" spans="2:14" x14ac:dyDescent="0.25">
      <c r="B499" s="1">
        <v>44938</v>
      </c>
      <c r="C499" t="s">
        <v>38</v>
      </c>
      <c r="D499" t="s">
        <v>34</v>
      </c>
      <c r="E499">
        <v>2761.65</v>
      </c>
      <c r="F499">
        <v>13</v>
      </c>
      <c r="G499" t="s">
        <v>26</v>
      </c>
      <c r="H499">
        <v>2312.4499999999998</v>
      </c>
      <c r="I499">
        <v>2504.6</v>
      </c>
      <c r="J499" t="s">
        <v>17</v>
      </c>
      <c r="K499">
        <v>0.06</v>
      </c>
      <c r="L499" t="s">
        <v>27</v>
      </c>
      <c r="M499" t="s">
        <v>19</v>
      </c>
      <c r="N499" t="s">
        <v>48</v>
      </c>
    </row>
    <row r="500" spans="2:14" x14ac:dyDescent="0.25">
      <c r="B500" s="1">
        <v>45201</v>
      </c>
      <c r="C500" t="s">
        <v>14</v>
      </c>
      <c r="D500" t="s">
        <v>21</v>
      </c>
      <c r="E500">
        <v>3747.64</v>
      </c>
      <c r="F500">
        <v>43</v>
      </c>
      <c r="G500" t="s">
        <v>35</v>
      </c>
      <c r="H500">
        <v>1486.76</v>
      </c>
      <c r="I500">
        <v>1505.44</v>
      </c>
      <c r="J500" t="s">
        <v>30</v>
      </c>
      <c r="K500">
        <v>0.08</v>
      </c>
      <c r="L500" t="s">
        <v>18</v>
      </c>
      <c r="M500" t="s">
        <v>22</v>
      </c>
      <c r="N500" t="s">
        <v>23</v>
      </c>
    </row>
    <row r="501" spans="2:14" x14ac:dyDescent="0.25">
      <c r="B501" s="1">
        <v>45027</v>
      </c>
      <c r="C501" t="s">
        <v>14</v>
      </c>
      <c r="D501" t="s">
        <v>34</v>
      </c>
      <c r="E501">
        <v>8963.93</v>
      </c>
      <c r="F501">
        <v>17</v>
      </c>
      <c r="G501" t="s">
        <v>26</v>
      </c>
      <c r="H501">
        <v>2831.58</v>
      </c>
      <c r="I501">
        <v>3186.15</v>
      </c>
      <c r="J501" t="s">
        <v>30</v>
      </c>
      <c r="K501">
        <v>0.24</v>
      </c>
      <c r="L501" t="s">
        <v>27</v>
      </c>
      <c r="M501" t="s">
        <v>22</v>
      </c>
      <c r="N501" t="s">
        <v>46</v>
      </c>
    </row>
    <row r="502" spans="2:14" x14ac:dyDescent="0.25">
      <c r="B502" s="1">
        <v>44970</v>
      </c>
      <c r="C502" t="s">
        <v>38</v>
      </c>
      <c r="D502" t="s">
        <v>15</v>
      </c>
      <c r="E502">
        <v>6697.98</v>
      </c>
      <c r="F502">
        <v>17</v>
      </c>
      <c r="G502" t="s">
        <v>29</v>
      </c>
      <c r="H502">
        <v>604.08000000000004</v>
      </c>
      <c r="I502">
        <v>624.71</v>
      </c>
      <c r="J502" t="s">
        <v>30</v>
      </c>
      <c r="K502">
        <v>0.14000000000000001</v>
      </c>
      <c r="L502" t="s">
        <v>27</v>
      </c>
      <c r="M502" t="s">
        <v>22</v>
      </c>
      <c r="N502" t="s">
        <v>40</v>
      </c>
    </row>
    <row r="503" spans="2:14" x14ac:dyDescent="0.25">
      <c r="B503" s="1">
        <v>45231</v>
      </c>
      <c r="C503" t="s">
        <v>42</v>
      </c>
      <c r="D503" t="s">
        <v>25</v>
      </c>
      <c r="E503">
        <v>7895.13</v>
      </c>
      <c r="F503">
        <v>36</v>
      </c>
      <c r="G503" t="s">
        <v>29</v>
      </c>
      <c r="H503">
        <v>3067.05</v>
      </c>
      <c r="I503">
        <v>3386.33</v>
      </c>
      <c r="J503" t="s">
        <v>30</v>
      </c>
      <c r="K503">
        <v>0.2</v>
      </c>
      <c r="L503" t="s">
        <v>27</v>
      </c>
      <c r="M503" t="s">
        <v>19</v>
      </c>
      <c r="N503" t="s">
        <v>43</v>
      </c>
    </row>
    <row r="504" spans="2:14" x14ac:dyDescent="0.25">
      <c r="B504" s="1">
        <v>44943</v>
      </c>
      <c r="C504" t="s">
        <v>38</v>
      </c>
      <c r="D504" t="s">
        <v>21</v>
      </c>
      <c r="E504">
        <v>4598.0200000000004</v>
      </c>
      <c r="F504">
        <v>21</v>
      </c>
      <c r="G504" t="s">
        <v>35</v>
      </c>
      <c r="H504">
        <v>2863.74</v>
      </c>
      <c r="I504">
        <v>2953.91</v>
      </c>
      <c r="J504" t="s">
        <v>30</v>
      </c>
      <c r="K504">
        <v>0.1</v>
      </c>
      <c r="L504" t="s">
        <v>27</v>
      </c>
      <c r="M504" t="s">
        <v>22</v>
      </c>
      <c r="N504" t="s">
        <v>41</v>
      </c>
    </row>
    <row r="505" spans="2:14" x14ac:dyDescent="0.25">
      <c r="B505" s="1">
        <v>45256</v>
      </c>
      <c r="C505" t="s">
        <v>38</v>
      </c>
      <c r="D505" t="s">
        <v>25</v>
      </c>
      <c r="E505">
        <v>6339.45</v>
      </c>
      <c r="F505">
        <v>8</v>
      </c>
      <c r="G505" t="s">
        <v>26</v>
      </c>
      <c r="H505">
        <v>3970.37</v>
      </c>
      <c r="I505">
        <v>4257.5199999999904</v>
      </c>
      <c r="J505" t="s">
        <v>30</v>
      </c>
      <c r="K505">
        <v>0.11</v>
      </c>
      <c r="L505" t="s">
        <v>18</v>
      </c>
      <c r="M505" t="s">
        <v>22</v>
      </c>
      <c r="N505" t="s">
        <v>39</v>
      </c>
    </row>
    <row r="506" spans="2:14" x14ac:dyDescent="0.25">
      <c r="B506" s="1">
        <v>44983</v>
      </c>
      <c r="C506" t="s">
        <v>14</v>
      </c>
      <c r="D506" t="s">
        <v>21</v>
      </c>
      <c r="E506">
        <v>2559</v>
      </c>
      <c r="F506">
        <v>5</v>
      </c>
      <c r="G506" t="s">
        <v>35</v>
      </c>
      <c r="H506">
        <v>4934.1000000000004</v>
      </c>
      <c r="I506">
        <v>5191.0200000000004</v>
      </c>
      <c r="J506" t="s">
        <v>30</v>
      </c>
      <c r="K506">
        <v>0.3</v>
      </c>
      <c r="L506" t="s">
        <v>27</v>
      </c>
      <c r="M506" t="s">
        <v>19</v>
      </c>
      <c r="N506" t="s">
        <v>23</v>
      </c>
    </row>
    <row r="507" spans="2:14" x14ac:dyDescent="0.25">
      <c r="B507" s="1">
        <v>45237</v>
      </c>
      <c r="C507" t="s">
        <v>14</v>
      </c>
      <c r="D507" t="s">
        <v>34</v>
      </c>
      <c r="E507">
        <v>7084.06</v>
      </c>
      <c r="F507">
        <v>26</v>
      </c>
      <c r="G507" t="s">
        <v>29</v>
      </c>
      <c r="H507">
        <v>1291.82</v>
      </c>
      <c r="I507">
        <v>1308.4399999999901</v>
      </c>
      <c r="J507" t="s">
        <v>17</v>
      </c>
      <c r="K507">
        <v>7.0000000000000007E-2</v>
      </c>
      <c r="L507" t="s">
        <v>31</v>
      </c>
      <c r="M507" t="s">
        <v>19</v>
      </c>
      <c r="N507" t="s">
        <v>46</v>
      </c>
    </row>
    <row r="508" spans="2:14" x14ac:dyDescent="0.25">
      <c r="B508" s="1">
        <v>45229</v>
      </c>
      <c r="C508" t="s">
        <v>38</v>
      </c>
      <c r="D508" t="s">
        <v>34</v>
      </c>
      <c r="E508">
        <v>4333.25</v>
      </c>
      <c r="F508">
        <v>16</v>
      </c>
      <c r="G508" t="s">
        <v>35</v>
      </c>
      <c r="H508">
        <v>2572.8000000000002</v>
      </c>
      <c r="I508">
        <v>2760.6</v>
      </c>
      <c r="J508" t="s">
        <v>17</v>
      </c>
      <c r="K508">
        <v>0.15</v>
      </c>
      <c r="L508" t="s">
        <v>31</v>
      </c>
      <c r="M508" t="s">
        <v>22</v>
      </c>
      <c r="N508" t="s">
        <v>48</v>
      </c>
    </row>
    <row r="509" spans="2:14" x14ac:dyDescent="0.25">
      <c r="B509" s="1">
        <v>44938</v>
      </c>
      <c r="C509" t="s">
        <v>38</v>
      </c>
      <c r="D509" t="s">
        <v>34</v>
      </c>
      <c r="E509">
        <v>4481.2</v>
      </c>
      <c r="F509">
        <v>36</v>
      </c>
      <c r="G509" t="s">
        <v>26</v>
      </c>
      <c r="H509">
        <v>4548.88</v>
      </c>
      <c r="I509">
        <v>4853.41</v>
      </c>
      <c r="J509" t="s">
        <v>17</v>
      </c>
      <c r="K509">
        <v>0.25</v>
      </c>
      <c r="L509" t="s">
        <v>31</v>
      </c>
      <c r="M509" t="s">
        <v>22</v>
      </c>
      <c r="N509" t="s">
        <v>48</v>
      </c>
    </row>
    <row r="510" spans="2:14" x14ac:dyDescent="0.25">
      <c r="B510" s="1">
        <v>45244</v>
      </c>
      <c r="C510" t="s">
        <v>38</v>
      </c>
      <c r="D510" t="s">
        <v>34</v>
      </c>
      <c r="E510">
        <v>6528.29</v>
      </c>
      <c r="F510">
        <v>28</v>
      </c>
      <c r="G510" t="s">
        <v>29</v>
      </c>
      <c r="H510">
        <v>3936.69</v>
      </c>
      <c r="I510">
        <v>4362.51</v>
      </c>
      <c r="J510" t="s">
        <v>17</v>
      </c>
      <c r="K510">
        <v>7.0000000000000007E-2</v>
      </c>
      <c r="L510" t="s">
        <v>31</v>
      </c>
      <c r="M510" t="s">
        <v>22</v>
      </c>
      <c r="N510" t="s">
        <v>48</v>
      </c>
    </row>
    <row r="511" spans="2:14" x14ac:dyDescent="0.25">
      <c r="B511" s="1">
        <v>45006</v>
      </c>
      <c r="C511" t="s">
        <v>14</v>
      </c>
      <c r="D511" t="s">
        <v>34</v>
      </c>
      <c r="E511">
        <v>9369.18</v>
      </c>
      <c r="F511">
        <v>29</v>
      </c>
      <c r="G511" t="s">
        <v>16</v>
      </c>
      <c r="H511">
        <v>2462.66</v>
      </c>
      <c r="I511">
        <v>2908.0899999999901</v>
      </c>
      <c r="J511" t="s">
        <v>30</v>
      </c>
      <c r="K511">
        <v>0.12</v>
      </c>
      <c r="L511" t="s">
        <v>31</v>
      </c>
      <c r="M511" t="s">
        <v>19</v>
      </c>
      <c r="N511" t="s">
        <v>46</v>
      </c>
    </row>
    <row r="512" spans="2:14" x14ac:dyDescent="0.25">
      <c r="B512" s="1">
        <v>45142</v>
      </c>
      <c r="C512" t="s">
        <v>38</v>
      </c>
      <c r="D512" t="s">
        <v>25</v>
      </c>
      <c r="E512">
        <v>733.66</v>
      </c>
      <c r="F512">
        <v>47</v>
      </c>
      <c r="G512" t="s">
        <v>29</v>
      </c>
      <c r="H512">
        <v>4729.59</v>
      </c>
      <c r="I512">
        <v>4976.68</v>
      </c>
      <c r="J512" t="s">
        <v>17</v>
      </c>
      <c r="K512">
        <v>0.18</v>
      </c>
      <c r="L512" t="s">
        <v>31</v>
      </c>
      <c r="M512" t="s">
        <v>22</v>
      </c>
      <c r="N512" t="s">
        <v>39</v>
      </c>
    </row>
    <row r="513" spans="2:14" x14ac:dyDescent="0.25">
      <c r="B513" s="1">
        <v>45265</v>
      </c>
      <c r="C513" t="s">
        <v>38</v>
      </c>
      <c r="D513" t="s">
        <v>34</v>
      </c>
      <c r="E513">
        <v>8264.9599999999991</v>
      </c>
      <c r="F513">
        <v>12</v>
      </c>
      <c r="G513" t="s">
        <v>16</v>
      </c>
      <c r="H513">
        <v>333.32</v>
      </c>
      <c r="I513">
        <v>700.25</v>
      </c>
      <c r="J513" t="s">
        <v>17</v>
      </c>
      <c r="K513">
        <v>0.14000000000000001</v>
      </c>
      <c r="L513" t="s">
        <v>18</v>
      </c>
      <c r="M513" t="s">
        <v>19</v>
      </c>
      <c r="N513" t="s">
        <v>48</v>
      </c>
    </row>
    <row r="514" spans="2:14" x14ac:dyDescent="0.25">
      <c r="B514" s="1">
        <v>45190</v>
      </c>
      <c r="C514" t="s">
        <v>24</v>
      </c>
      <c r="D514" t="s">
        <v>15</v>
      </c>
      <c r="E514">
        <v>2994.59</v>
      </c>
      <c r="F514">
        <v>37</v>
      </c>
      <c r="G514" t="s">
        <v>35</v>
      </c>
      <c r="H514">
        <v>4658.4399999999996</v>
      </c>
      <c r="I514">
        <v>4823.5</v>
      </c>
      <c r="J514" t="s">
        <v>17</v>
      </c>
      <c r="K514">
        <v>0.14000000000000001</v>
      </c>
      <c r="L514" t="s">
        <v>31</v>
      </c>
      <c r="M514" t="s">
        <v>19</v>
      </c>
      <c r="N514" t="s">
        <v>45</v>
      </c>
    </row>
    <row r="515" spans="2:14" x14ac:dyDescent="0.25">
      <c r="B515" s="1">
        <v>45075</v>
      </c>
      <c r="C515" t="s">
        <v>42</v>
      </c>
      <c r="D515" t="s">
        <v>15</v>
      </c>
      <c r="E515">
        <v>4494.8</v>
      </c>
      <c r="F515">
        <v>30</v>
      </c>
      <c r="G515" t="s">
        <v>35</v>
      </c>
      <c r="H515">
        <v>300.01</v>
      </c>
      <c r="I515">
        <v>477.67999999999898</v>
      </c>
      <c r="J515" t="s">
        <v>30</v>
      </c>
      <c r="K515">
        <v>0.11</v>
      </c>
      <c r="L515" t="s">
        <v>27</v>
      </c>
      <c r="M515" t="s">
        <v>22</v>
      </c>
      <c r="N515" t="s">
        <v>49</v>
      </c>
    </row>
    <row r="516" spans="2:14" x14ac:dyDescent="0.25">
      <c r="B516" s="1">
        <v>45007</v>
      </c>
      <c r="C516" t="s">
        <v>33</v>
      </c>
      <c r="D516" t="s">
        <v>25</v>
      </c>
      <c r="E516">
        <v>316.94</v>
      </c>
      <c r="F516">
        <v>23</v>
      </c>
      <c r="G516" t="s">
        <v>26</v>
      </c>
      <c r="H516">
        <v>2759.16</v>
      </c>
      <c r="I516">
        <v>2864.45</v>
      </c>
      <c r="J516" t="s">
        <v>17</v>
      </c>
      <c r="K516">
        <v>0.18</v>
      </c>
      <c r="L516" t="s">
        <v>31</v>
      </c>
      <c r="M516" t="s">
        <v>22</v>
      </c>
      <c r="N516" t="s">
        <v>44</v>
      </c>
    </row>
    <row r="517" spans="2:14" x14ac:dyDescent="0.25">
      <c r="B517" s="1">
        <v>45141</v>
      </c>
      <c r="C517" t="s">
        <v>42</v>
      </c>
      <c r="D517" t="s">
        <v>21</v>
      </c>
      <c r="E517">
        <v>3080.36</v>
      </c>
      <c r="F517">
        <v>16</v>
      </c>
      <c r="G517" t="s">
        <v>16</v>
      </c>
      <c r="H517">
        <v>4457.68</v>
      </c>
      <c r="I517">
        <v>4743.03</v>
      </c>
      <c r="J517" t="s">
        <v>17</v>
      </c>
      <c r="K517">
        <v>0.19</v>
      </c>
      <c r="L517" t="s">
        <v>18</v>
      </c>
      <c r="M517" t="s">
        <v>19</v>
      </c>
      <c r="N517" t="s">
        <v>51</v>
      </c>
    </row>
    <row r="518" spans="2:14" x14ac:dyDescent="0.25">
      <c r="B518" s="1">
        <v>45124</v>
      </c>
      <c r="C518" t="s">
        <v>24</v>
      </c>
      <c r="D518" t="s">
        <v>15</v>
      </c>
      <c r="E518">
        <v>5076.05</v>
      </c>
      <c r="F518">
        <v>14</v>
      </c>
      <c r="G518" t="s">
        <v>35</v>
      </c>
      <c r="H518">
        <v>1350.47</v>
      </c>
      <c r="I518">
        <v>1514.61</v>
      </c>
      <c r="J518" t="s">
        <v>30</v>
      </c>
      <c r="K518">
        <v>0.2</v>
      </c>
      <c r="L518" t="s">
        <v>31</v>
      </c>
      <c r="M518" t="s">
        <v>22</v>
      </c>
      <c r="N518" t="s">
        <v>45</v>
      </c>
    </row>
    <row r="519" spans="2:14" x14ac:dyDescent="0.25">
      <c r="B519" s="1">
        <v>45126</v>
      </c>
      <c r="C519" t="s">
        <v>33</v>
      </c>
      <c r="D519" t="s">
        <v>21</v>
      </c>
      <c r="E519">
        <v>656.14</v>
      </c>
      <c r="F519">
        <v>10</v>
      </c>
      <c r="G519" t="s">
        <v>16</v>
      </c>
      <c r="H519">
        <v>2387.63</v>
      </c>
      <c r="I519">
        <v>2438.9699999999998</v>
      </c>
      <c r="J519" t="s">
        <v>17</v>
      </c>
      <c r="K519">
        <v>0.02</v>
      </c>
      <c r="L519" t="s">
        <v>27</v>
      </c>
      <c r="M519" t="s">
        <v>22</v>
      </c>
      <c r="N519" t="s">
        <v>37</v>
      </c>
    </row>
    <row r="520" spans="2:14" x14ac:dyDescent="0.25">
      <c r="B520" s="1">
        <v>44951</v>
      </c>
      <c r="C520" t="s">
        <v>38</v>
      </c>
      <c r="D520" t="s">
        <v>25</v>
      </c>
      <c r="E520">
        <v>4961.8500000000004</v>
      </c>
      <c r="F520">
        <v>7</v>
      </c>
      <c r="G520" t="s">
        <v>35</v>
      </c>
      <c r="H520">
        <v>1655.43</v>
      </c>
      <c r="I520">
        <v>2001.08</v>
      </c>
      <c r="J520" t="s">
        <v>30</v>
      </c>
      <c r="K520">
        <v>0.19</v>
      </c>
      <c r="L520" t="s">
        <v>27</v>
      </c>
      <c r="M520" t="s">
        <v>19</v>
      </c>
      <c r="N520" t="s">
        <v>39</v>
      </c>
    </row>
    <row r="521" spans="2:14" x14ac:dyDescent="0.25">
      <c r="B521" s="1">
        <v>45015</v>
      </c>
      <c r="C521" t="s">
        <v>24</v>
      </c>
      <c r="D521" t="s">
        <v>21</v>
      </c>
      <c r="E521">
        <v>9278.4</v>
      </c>
      <c r="F521">
        <v>45</v>
      </c>
      <c r="G521" t="s">
        <v>29</v>
      </c>
      <c r="H521">
        <v>4763.1099999999997</v>
      </c>
      <c r="I521">
        <v>5119.91</v>
      </c>
      <c r="J521" t="s">
        <v>17</v>
      </c>
      <c r="K521">
        <v>0.28999999999999998</v>
      </c>
      <c r="L521" t="s">
        <v>18</v>
      </c>
      <c r="M521" t="s">
        <v>22</v>
      </c>
      <c r="N521" t="s">
        <v>47</v>
      </c>
    </row>
    <row r="522" spans="2:14" x14ac:dyDescent="0.25">
      <c r="B522" s="1">
        <v>45194</v>
      </c>
      <c r="C522" t="s">
        <v>38</v>
      </c>
      <c r="D522" t="s">
        <v>21</v>
      </c>
      <c r="E522">
        <v>1143.3900000000001</v>
      </c>
      <c r="F522">
        <v>37</v>
      </c>
      <c r="G522" t="s">
        <v>35</v>
      </c>
      <c r="H522">
        <v>4127.05</v>
      </c>
      <c r="I522">
        <v>4313.45</v>
      </c>
      <c r="J522" t="s">
        <v>30</v>
      </c>
      <c r="K522">
        <v>0.16</v>
      </c>
      <c r="L522" t="s">
        <v>18</v>
      </c>
      <c r="M522" t="s">
        <v>19</v>
      </c>
      <c r="N522" t="s">
        <v>41</v>
      </c>
    </row>
    <row r="523" spans="2:14" x14ac:dyDescent="0.25">
      <c r="B523" s="1">
        <v>45069</v>
      </c>
      <c r="C523" t="s">
        <v>14</v>
      </c>
      <c r="D523" t="s">
        <v>21</v>
      </c>
      <c r="E523">
        <v>7667.96</v>
      </c>
      <c r="F523">
        <v>29</v>
      </c>
      <c r="G523" t="s">
        <v>26</v>
      </c>
      <c r="H523">
        <v>3559.56</v>
      </c>
      <c r="I523">
        <v>3607.15</v>
      </c>
      <c r="J523" t="s">
        <v>17</v>
      </c>
      <c r="K523">
        <v>0.21</v>
      </c>
      <c r="L523" t="s">
        <v>18</v>
      </c>
      <c r="M523" t="s">
        <v>22</v>
      </c>
      <c r="N523" t="s">
        <v>23</v>
      </c>
    </row>
    <row r="524" spans="2:14" x14ac:dyDescent="0.25">
      <c r="B524" s="1">
        <v>44985</v>
      </c>
      <c r="C524" t="s">
        <v>24</v>
      </c>
      <c r="D524" t="s">
        <v>21</v>
      </c>
      <c r="E524">
        <v>4155.74</v>
      </c>
      <c r="F524">
        <v>3</v>
      </c>
      <c r="G524" t="s">
        <v>29</v>
      </c>
      <c r="H524">
        <v>2958.75</v>
      </c>
      <c r="I524">
        <v>3177.64</v>
      </c>
      <c r="J524" t="s">
        <v>17</v>
      </c>
      <c r="K524">
        <v>0.17</v>
      </c>
      <c r="L524" t="s">
        <v>18</v>
      </c>
      <c r="M524" t="s">
        <v>19</v>
      </c>
      <c r="N524" t="s">
        <v>47</v>
      </c>
    </row>
    <row r="525" spans="2:14" x14ac:dyDescent="0.25">
      <c r="B525" s="1">
        <v>45291</v>
      </c>
      <c r="C525" t="s">
        <v>14</v>
      </c>
      <c r="D525" t="s">
        <v>25</v>
      </c>
      <c r="E525">
        <v>6586.22</v>
      </c>
      <c r="F525">
        <v>15</v>
      </c>
      <c r="G525" t="s">
        <v>26</v>
      </c>
      <c r="H525">
        <v>4111.93</v>
      </c>
      <c r="I525">
        <v>4338.67</v>
      </c>
      <c r="J525" t="s">
        <v>17</v>
      </c>
      <c r="K525">
        <v>0.26</v>
      </c>
      <c r="L525" t="s">
        <v>31</v>
      </c>
      <c r="M525" t="s">
        <v>19</v>
      </c>
      <c r="N525" t="s">
        <v>32</v>
      </c>
    </row>
    <row r="526" spans="2:14" x14ac:dyDescent="0.25">
      <c r="B526" s="1">
        <v>44952</v>
      </c>
      <c r="C526" t="s">
        <v>24</v>
      </c>
      <c r="D526" t="s">
        <v>15</v>
      </c>
      <c r="E526">
        <v>2676.34</v>
      </c>
      <c r="F526">
        <v>36</v>
      </c>
      <c r="G526" t="s">
        <v>29</v>
      </c>
      <c r="H526">
        <v>1991.72</v>
      </c>
      <c r="I526">
        <v>2329.37</v>
      </c>
      <c r="J526" t="s">
        <v>30</v>
      </c>
      <c r="K526">
        <v>0.28000000000000003</v>
      </c>
      <c r="L526" t="s">
        <v>31</v>
      </c>
      <c r="M526" t="s">
        <v>22</v>
      </c>
      <c r="N526" t="s">
        <v>45</v>
      </c>
    </row>
    <row r="527" spans="2:14" x14ac:dyDescent="0.25">
      <c r="B527" s="1">
        <v>44973</v>
      </c>
      <c r="C527" t="s">
        <v>24</v>
      </c>
      <c r="D527" t="s">
        <v>34</v>
      </c>
      <c r="E527">
        <v>1678.97</v>
      </c>
      <c r="F527">
        <v>47</v>
      </c>
      <c r="G527" t="s">
        <v>16</v>
      </c>
      <c r="H527">
        <v>2265.38</v>
      </c>
      <c r="I527">
        <v>2429.9299999999998</v>
      </c>
      <c r="J527" t="s">
        <v>17</v>
      </c>
      <c r="K527">
        <v>0.06</v>
      </c>
      <c r="L527" t="s">
        <v>27</v>
      </c>
      <c r="M527" t="s">
        <v>19</v>
      </c>
      <c r="N527" t="s">
        <v>50</v>
      </c>
    </row>
    <row r="528" spans="2:14" x14ac:dyDescent="0.25">
      <c r="B528" s="1">
        <v>45214</v>
      </c>
      <c r="C528" t="s">
        <v>14</v>
      </c>
      <c r="D528" t="s">
        <v>21</v>
      </c>
      <c r="E528">
        <v>1688.58</v>
      </c>
      <c r="F528">
        <v>46</v>
      </c>
      <c r="G528" t="s">
        <v>26</v>
      </c>
      <c r="H528">
        <v>3663.51</v>
      </c>
      <c r="I528">
        <v>4007.98</v>
      </c>
      <c r="J528" t="s">
        <v>30</v>
      </c>
      <c r="K528">
        <v>0.13</v>
      </c>
      <c r="L528" t="s">
        <v>18</v>
      </c>
      <c r="M528" t="s">
        <v>19</v>
      </c>
      <c r="N528" t="s">
        <v>23</v>
      </c>
    </row>
    <row r="529" spans="2:14" x14ac:dyDescent="0.25">
      <c r="B529" s="1">
        <v>45192</v>
      </c>
      <c r="C529" t="s">
        <v>33</v>
      </c>
      <c r="D529" t="s">
        <v>15</v>
      </c>
      <c r="E529">
        <v>797.87</v>
      </c>
      <c r="F529">
        <v>19</v>
      </c>
      <c r="G529" t="s">
        <v>35</v>
      </c>
      <c r="H529">
        <v>1820.89</v>
      </c>
      <c r="I529">
        <v>2257.92</v>
      </c>
      <c r="J529" t="s">
        <v>30</v>
      </c>
      <c r="K529">
        <v>0.12</v>
      </c>
      <c r="L529" t="s">
        <v>18</v>
      </c>
      <c r="M529" t="s">
        <v>22</v>
      </c>
      <c r="N529" t="s">
        <v>53</v>
      </c>
    </row>
    <row r="530" spans="2:14" x14ac:dyDescent="0.25">
      <c r="B530" s="1">
        <v>44942</v>
      </c>
      <c r="C530" t="s">
        <v>42</v>
      </c>
      <c r="D530" t="s">
        <v>15</v>
      </c>
      <c r="E530">
        <v>1937.9</v>
      </c>
      <c r="F530">
        <v>13</v>
      </c>
      <c r="G530" t="s">
        <v>16</v>
      </c>
      <c r="H530">
        <v>366.31</v>
      </c>
      <c r="I530">
        <v>492.68</v>
      </c>
      <c r="J530" t="s">
        <v>30</v>
      </c>
      <c r="K530">
        <v>0.12</v>
      </c>
      <c r="L530" t="s">
        <v>31</v>
      </c>
      <c r="M530" t="s">
        <v>22</v>
      </c>
      <c r="N530" t="s">
        <v>49</v>
      </c>
    </row>
    <row r="531" spans="2:14" x14ac:dyDescent="0.25">
      <c r="B531" s="1">
        <v>45125</v>
      </c>
      <c r="C531" t="s">
        <v>38</v>
      </c>
      <c r="D531" t="s">
        <v>25</v>
      </c>
      <c r="E531">
        <v>6675.77</v>
      </c>
      <c r="F531">
        <v>42</v>
      </c>
      <c r="G531" t="s">
        <v>35</v>
      </c>
      <c r="H531">
        <v>417.96</v>
      </c>
      <c r="I531">
        <v>907.63</v>
      </c>
      <c r="J531" t="s">
        <v>30</v>
      </c>
      <c r="K531">
        <v>0.04</v>
      </c>
      <c r="L531" t="s">
        <v>18</v>
      </c>
      <c r="M531" t="s">
        <v>22</v>
      </c>
      <c r="N531" t="s">
        <v>39</v>
      </c>
    </row>
    <row r="532" spans="2:14" x14ac:dyDescent="0.25">
      <c r="B532" s="1">
        <v>45208</v>
      </c>
      <c r="C532" t="s">
        <v>24</v>
      </c>
      <c r="D532" t="s">
        <v>15</v>
      </c>
      <c r="E532">
        <v>8828.74</v>
      </c>
      <c r="F532">
        <v>21</v>
      </c>
      <c r="G532" t="s">
        <v>29</v>
      </c>
      <c r="H532">
        <v>621.04999999999995</v>
      </c>
      <c r="I532">
        <v>820.36999999999898</v>
      </c>
      <c r="J532" t="s">
        <v>17</v>
      </c>
      <c r="K532">
        <v>0.24</v>
      </c>
      <c r="L532" t="s">
        <v>27</v>
      </c>
      <c r="M532" t="s">
        <v>19</v>
      </c>
      <c r="N532" t="s">
        <v>45</v>
      </c>
    </row>
    <row r="533" spans="2:14" x14ac:dyDescent="0.25">
      <c r="B533" s="1">
        <v>45012</v>
      </c>
      <c r="C533" t="s">
        <v>38</v>
      </c>
      <c r="D533" t="s">
        <v>25</v>
      </c>
      <c r="E533">
        <v>8159.84</v>
      </c>
      <c r="F533">
        <v>37</v>
      </c>
      <c r="G533" t="s">
        <v>29</v>
      </c>
      <c r="H533">
        <v>4354.92</v>
      </c>
      <c r="I533">
        <v>4495.88</v>
      </c>
      <c r="J533" t="s">
        <v>17</v>
      </c>
      <c r="K533">
        <v>0.01</v>
      </c>
      <c r="L533" t="s">
        <v>27</v>
      </c>
      <c r="M533" t="s">
        <v>19</v>
      </c>
      <c r="N533" t="s">
        <v>39</v>
      </c>
    </row>
    <row r="534" spans="2:14" x14ac:dyDescent="0.25">
      <c r="B534" s="1">
        <v>45176</v>
      </c>
      <c r="C534" t="s">
        <v>14</v>
      </c>
      <c r="D534" t="s">
        <v>21</v>
      </c>
      <c r="E534">
        <v>6882.83</v>
      </c>
      <c r="F534">
        <v>27</v>
      </c>
      <c r="G534" t="s">
        <v>35</v>
      </c>
      <c r="H534">
        <v>2387.52</v>
      </c>
      <c r="I534">
        <v>2604.06</v>
      </c>
      <c r="J534" t="s">
        <v>17</v>
      </c>
      <c r="K534">
        <v>0.16</v>
      </c>
      <c r="L534" t="s">
        <v>18</v>
      </c>
      <c r="M534" t="s">
        <v>19</v>
      </c>
      <c r="N534" t="s">
        <v>23</v>
      </c>
    </row>
    <row r="535" spans="2:14" x14ac:dyDescent="0.25">
      <c r="B535" s="1">
        <v>45196</v>
      </c>
      <c r="C535" t="s">
        <v>38</v>
      </c>
      <c r="D535" t="s">
        <v>21</v>
      </c>
      <c r="E535">
        <v>1193.28</v>
      </c>
      <c r="F535">
        <v>29</v>
      </c>
      <c r="G535" t="s">
        <v>35</v>
      </c>
      <c r="H535">
        <v>3578.77</v>
      </c>
      <c r="I535">
        <v>3635.02</v>
      </c>
      <c r="J535" t="s">
        <v>30</v>
      </c>
      <c r="K535">
        <v>0.2</v>
      </c>
      <c r="L535" t="s">
        <v>27</v>
      </c>
      <c r="M535" t="s">
        <v>22</v>
      </c>
      <c r="N535" t="s">
        <v>41</v>
      </c>
    </row>
    <row r="536" spans="2:14" x14ac:dyDescent="0.25">
      <c r="B536" s="1">
        <v>45261</v>
      </c>
      <c r="C536" t="s">
        <v>14</v>
      </c>
      <c r="D536" t="s">
        <v>34</v>
      </c>
      <c r="E536">
        <v>2962.96</v>
      </c>
      <c r="F536">
        <v>20</v>
      </c>
      <c r="G536" t="s">
        <v>16</v>
      </c>
      <c r="H536">
        <v>1994.9</v>
      </c>
      <c r="I536">
        <v>2066.5</v>
      </c>
      <c r="J536" t="s">
        <v>17</v>
      </c>
      <c r="K536">
        <v>0.06</v>
      </c>
      <c r="L536" t="s">
        <v>27</v>
      </c>
      <c r="M536" t="s">
        <v>19</v>
      </c>
      <c r="N536" t="s">
        <v>46</v>
      </c>
    </row>
    <row r="537" spans="2:14" x14ac:dyDescent="0.25">
      <c r="B537" s="1">
        <v>45043</v>
      </c>
      <c r="C537" t="s">
        <v>38</v>
      </c>
      <c r="D537" t="s">
        <v>34</v>
      </c>
      <c r="E537">
        <v>3167.09</v>
      </c>
      <c r="F537">
        <v>25</v>
      </c>
      <c r="G537" t="s">
        <v>35</v>
      </c>
      <c r="H537">
        <v>1330.62</v>
      </c>
      <c r="I537">
        <v>1543.6899999999901</v>
      </c>
      <c r="J537" t="s">
        <v>30</v>
      </c>
      <c r="K537">
        <v>0.27</v>
      </c>
      <c r="L537" t="s">
        <v>31</v>
      </c>
      <c r="M537" t="s">
        <v>19</v>
      </c>
      <c r="N537" t="s">
        <v>48</v>
      </c>
    </row>
    <row r="538" spans="2:14" x14ac:dyDescent="0.25">
      <c r="B538" s="1">
        <v>44933</v>
      </c>
      <c r="C538" t="s">
        <v>42</v>
      </c>
      <c r="D538" t="s">
        <v>34</v>
      </c>
      <c r="E538">
        <v>2574.5700000000002</v>
      </c>
      <c r="F538">
        <v>6</v>
      </c>
      <c r="G538" t="s">
        <v>26</v>
      </c>
      <c r="H538">
        <v>1768.6</v>
      </c>
      <c r="I538">
        <v>2152.1999999999998</v>
      </c>
      <c r="J538" t="s">
        <v>30</v>
      </c>
      <c r="K538">
        <v>0.25</v>
      </c>
      <c r="L538" t="s">
        <v>27</v>
      </c>
      <c r="M538" t="s">
        <v>22</v>
      </c>
      <c r="N538" t="s">
        <v>52</v>
      </c>
    </row>
    <row r="539" spans="2:14" x14ac:dyDescent="0.25">
      <c r="B539" s="1">
        <v>45063</v>
      </c>
      <c r="C539" t="s">
        <v>42</v>
      </c>
      <c r="D539" t="s">
        <v>15</v>
      </c>
      <c r="E539">
        <v>5198.5600000000004</v>
      </c>
      <c r="F539">
        <v>36</v>
      </c>
      <c r="G539" t="s">
        <v>26</v>
      </c>
      <c r="H539">
        <v>3981.2</v>
      </c>
      <c r="I539">
        <v>4432.3499999999904</v>
      </c>
      <c r="J539" t="s">
        <v>30</v>
      </c>
      <c r="K539">
        <v>0.14000000000000001</v>
      </c>
      <c r="L539" t="s">
        <v>18</v>
      </c>
      <c r="M539" t="s">
        <v>19</v>
      </c>
      <c r="N539" t="s">
        <v>49</v>
      </c>
    </row>
    <row r="540" spans="2:14" x14ac:dyDescent="0.25">
      <c r="B540" s="1">
        <v>45102</v>
      </c>
      <c r="C540" t="s">
        <v>42</v>
      </c>
      <c r="D540" t="s">
        <v>21</v>
      </c>
      <c r="E540">
        <v>5401.98</v>
      </c>
      <c r="F540">
        <v>2</v>
      </c>
      <c r="G540" t="s">
        <v>35</v>
      </c>
      <c r="H540">
        <v>3144.82</v>
      </c>
      <c r="I540">
        <v>3480.58</v>
      </c>
      <c r="J540" t="s">
        <v>17</v>
      </c>
      <c r="K540">
        <v>0.12</v>
      </c>
      <c r="L540" t="s">
        <v>18</v>
      </c>
      <c r="M540" t="s">
        <v>22</v>
      </c>
      <c r="N540" t="s">
        <v>51</v>
      </c>
    </row>
    <row r="541" spans="2:14" x14ac:dyDescent="0.25">
      <c r="B541" s="1">
        <v>45254</v>
      </c>
      <c r="C541" t="s">
        <v>42</v>
      </c>
      <c r="D541" t="s">
        <v>25</v>
      </c>
      <c r="E541">
        <v>3633.17</v>
      </c>
      <c r="F541">
        <v>22</v>
      </c>
      <c r="G541" t="s">
        <v>26</v>
      </c>
      <c r="H541">
        <v>4691.32</v>
      </c>
      <c r="I541">
        <v>4752.88</v>
      </c>
      <c r="J541" t="s">
        <v>17</v>
      </c>
      <c r="K541">
        <v>7.0000000000000007E-2</v>
      </c>
      <c r="L541" t="s">
        <v>27</v>
      </c>
      <c r="M541" t="s">
        <v>22</v>
      </c>
      <c r="N541" t="s">
        <v>43</v>
      </c>
    </row>
    <row r="542" spans="2:14" x14ac:dyDescent="0.25">
      <c r="B542" s="1">
        <v>45241</v>
      </c>
      <c r="C542" t="s">
        <v>42</v>
      </c>
      <c r="D542" t="s">
        <v>34</v>
      </c>
      <c r="E542">
        <v>3602.51</v>
      </c>
      <c r="F542">
        <v>32</v>
      </c>
      <c r="G542" t="s">
        <v>35</v>
      </c>
      <c r="H542">
        <v>3414.54</v>
      </c>
      <c r="I542">
        <v>3753.83</v>
      </c>
      <c r="J542" t="s">
        <v>30</v>
      </c>
      <c r="K542">
        <v>0.22</v>
      </c>
      <c r="L542" t="s">
        <v>18</v>
      </c>
      <c r="M542" t="s">
        <v>22</v>
      </c>
      <c r="N542" t="s">
        <v>52</v>
      </c>
    </row>
    <row r="543" spans="2:14" x14ac:dyDescent="0.25">
      <c r="B543" s="1">
        <v>45141</v>
      </c>
      <c r="C543" t="s">
        <v>42</v>
      </c>
      <c r="D543" t="s">
        <v>25</v>
      </c>
      <c r="E543">
        <v>8302.7000000000007</v>
      </c>
      <c r="F543">
        <v>16</v>
      </c>
      <c r="G543" t="s">
        <v>16</v>
      </c>
      <c r="H543">
        <v>2872.4</v>
      </c>
      <c r="I543">
        <v>3193.76</v>
      </c>
      <c r="J543" t="s">
        <v>17</v>
      </c>
      <c r="K543">
        <v>0.04</v>
      </c>
      <c r="L543" t="s">
        <v>31</v>
      </c>
      <c r="M543" t="s">
        <v>19</v>
      </c>
      <c r="N543" t="s">
        <v>43</v>
      </c>
    </row>
    <row r="544" spans="2:14" x14ac:dyDescent="0.25">
      <c r="B544" s="1">
        <v>45008</v>
      </c>
      <c r="C544" t="s">
        <v>14</v>
      </c>
      <c r="D544" t="s">
        <v>25</v>
      </c>
      <c r="E544">
        <v>7914</v>
      </c>
      <c r="F544">
        <v>18</v>
      </c>
      <c r="G544" t="s">
        <v>26</v>
      </c>
      <c r="H544">
        <v>3070.47</v>
      </c>
      <c r="I544">
        <v>3475.29</v>
      </c>
      <c r="J544" t="s">
        <v>17</v>
      </c>
      <c r="K544">
        <v>0.2</v>
      </c>
      <c r="L544" t="s">
        <v>27</v>
      </c>
      <c r="M544" t="s">
        <v>19</v>
      </c>
      <c r="N544" t="s">
        <v>32</v>
      </c>
    </row>
    <row r="545" spans="2:14" x14ac:dyDescent="0.25">
      <c r="B545" s="1">
        <v>45149</v>
      </c>
      <c r="C545" t="s">
        <v>24</v>
      </c>
      <c r="D545" t="s">
        <v>34</v>
      </c>
      <c r="E545">
        <v>3147.18</v>
      </c>
      <c r="F545">
        <v>5</v>
      </c>
      <c r="G545" t="s">
        <v>26</v>
      </c>
      <c r="H545">
        <v>4714.74</v>
      </c>
      <c r="I545">
        <v>5129.1099999999997</v>
      </c>
      <c r="J545" t="s">
        <v>30</v>
      </c>
      <c r="K545">
        <v>0.25</v>
      </c>
      <c r="L545" t="s">
        <v>27</v>
      </c>
      <c r="M545" t="s">
        <v>19</v>
      </c>
      <c r="N545" t="s">
        <v>50</v>
      </c>
    </row>
    <row r="546" spans="2:14" x14ac:dyDescent="0.25">
      <c r="B546" s="1">
        <v>45029</v>
      </c>
      <c r="C546" t="s">
        <v>38</v>
      </c>
      <c r="D546" t="s">
        <v>21</v>
      </c>
      <c r="E546">
        <v>9146.51</v>
      </c>
      <c r="F546">
        <v>36</v>
      </c>
      <c r="G546" t="s">
        <v>35</v>
      </c>
      <c r="H546">
        <v>3951.59</v>
      </c>
      <c r="I546">
        <v>4387.01</v>
      </c>
      <c r="J546" t="s">
        <v>30</v>
      </c>
      <c r="K546">
        <v>7.0000000000000007E-2</v>
      </c>
      <c r="L546" t="s">
        <v>27</v>
      </c>
      <c r="M546" t="s">
        <v>22</v>
      </c>
      <c r="N546" t="s">
        <v>41</v>
      </c>
    </row>
    <row r="547" spans="2:14" x14ac:dyDescent="0.25">
      <c r="B547" s="1">
        <v>45199</v>
      </c>
      <c r="C547" t="s">
        <v>42</v>
      </c>
      <c r="D547" t="s">
        <v>34</v>
      </c>
      <c r="E547">
        <v>9532.8700000000008</v>
      </c>
      <c r="F547">
        <v>30</v>
      </c>
      <c r="G547" t="s">
        <v>26</v>
      </c>
      <c r="H547">
        <v>169</v>
      </c>
      <c r="I547">
        <v>381.91999999999899</v>
      </c>
      <c r="J547" t="s">
        <v>17</v>
      </c>
      <c r="K547">
        <v>0.26</v>
      </c>
      <c r="L547" t="s">
        <v>18</v>
      </c>
      <c r="M547" t="s">
        <v>22</v>
      </c>
      <c r="N547" t="s">
        <v>52</v>
      </c>
    </row>
    <row r="548" spans="2:14" x14ac:dyDescent="0.25">
      <c r="B548" s="1">
        <v>44940</v>
      </c>
      <c r="C548" t="s">
        <v>14</v>
      </c>
      <c r="D548" t="s">
        <v>25</v>
      </c>
      <c r="E548">
        <v>3334.75</v>
      </c>
      <c r="F548">
        <v>45</v>
      </c>
      <c r="G548" t="s">
        <v>29</v>
      </c>
      <c r="H548">
        <v>2693.99</v>
      </c>
      <c r="I548">
        <v>3045.9399999999901</v>
      </c>
      <c r="J548" t="s">
        <v>30</v>
      </c>
      <c r="K548">
        <v>0.01</v>
      </c>
      <c r="L548" t="s">
        <v>18</v>
      </c>
      <c r="M548" t="s">
        <v>22</v>
      </c>
      <c r="N548" t="s">
        <v>32</v>
      </c>
    </row>
    <row r="549" spans="2:14" x14ac:dyDescent="0.25">
      <c r="B549" s="1">
        <v>45085</v>
      </c>
      <c r="C549" t="s">
        <v>14</v>
      </c>
      <c r="D549" t="s">
        <v>34</v>
      </c>
      <c r="E549">
        <v>3608.81</v>
      </c>
      <c r="F549">
        <v>19</v>
      </c>
      <c r="G549" t="s">
        <v>16</v>
      </c>
      <c r="H549">
        <v>3457.28</v>
      </c>
      <c r="I549">
        <v>3598.72</v>
      </c>
      <c r="J549" t="s">
        <v>30</v>
      </c>
      <c r="K549">
        <v>0.27</v>
      </c>
      <c r="L549" t="s">
        <v>27</v>
      </c>
      <c r="M549" t="s">
        <v>19</v>
      </c>
      <c r="N549" t="s">
        <v>46</v>
      </c>
    </row>
    <row r="550" spans="2:14" x14ac:dyDescent="0.25">
      <c r="B550" s="1">
        <v>45078</v>
      </c>
      <c r="C550" t="s">
        <v>14</v>
      </c>
      <c r="D550" t="s">
        <v>25</v>
      </c>
      <c r="E550">
        <v>5105.78</v>
      </c>
      <c r="F550">
        <v>23</v>
      </c>
      <c r="G550" t="s">
        <v>16</v>
      </c>
      <c r="H550">
        <v>3756.06</v>
      </c>
      <c r="I550">
        <v>4255.7299999999996</v>
      </c>
      <c r="J550" t="s">
        <v>17</v>
      </c>
      <c r="K550">
        <v>0.04</v>
      </c>
      <c r="L550" t="s">
        <v>18</v>
      </c>
      <c r="M550" t="s">
        <v>19</v>
      </c>
      <c r="N550" t="s">
        <v>32</v>
      </c>
    </row>
    <row r="551" spans="2:14" x14ac:dyDescent="0.25">
      <c r="B551" s="1">
        <v>45034</v>
      </c>
      <c r="C551" t="s">
        <v>24</v>
      </c>
      <c r="D551" t="s">
        <v>25</v>
      </c>
      <c r="E551">
        <v>9417.1</v>
      </c>
      <c r="F551">
        <v>34</v>
      </c>
      <c r="G551" t="s">
        <v>26</v>
      </c>
      <c r="H551">
        <v>1105.05</v>
      </c>
      <c r="I551">
        <v>1200.96</v>
      </c>
      <c r="J551" t="s">
        <v>17</v>
      </c>
      <c r="K551">
        <v>0.19</v>
      </c>
      <c r="L551" t="s">
        <v>18</v>
      </c>
      <c r="M551" t="s">
        <v>19</v>
      </c>
      <c r="N551" t="s">
        <v>28</v>
      </c>
    </row>
    <row r="552" spans="2:14" x14ac:dyDescent="0.25">
      <c r="B552" s="1">
        <v>45114</v>
      </c>
      <c r="C552" t="s">
        <v>38</v>
      </c>
      <c r="D552" t="s">
        <v>34</v>
      </c>
      <c r="E552">
        <v>8775.56</v>
      </c>
      <c r="F552">
        <v>13</v>
      </c>
      <c r="G552" t="s">
        <v>26</v>
      </c>
      <c r="H552">
        <v>4342.53</v>
      </c>
      <c r="I552">
        <v>4357.49</v>
      </c>
      <c r="J552" t="s">
        <v>30</v>
      </c>
      <c r="K552">
        <v>0.08</v>
      </c>
      <c r="L552" t="s">
        <v>27</v>
      </c>
      <c r="M552" t="s">
        <v>19</v>
      </c>
      <c r="N552" t="s">
        <v>48</v>
      </c>
    </row>
    <row r="553" spans="2:14" x14ac:dyDescent="0.25">
      <c r="B553" s="1">
        <v>45227</v>
      </c>
      <c r="C553" t="s">
        <v>24</v>
      </c>
      <c r="D553" t="s">
        <v>15</v>
      </c>
      <c r="E553">
        <v>1115.42</v>
      </c>
      <c r="F553">
        <v>43</v>
      </c>
      <c r="G553" t="s">
        <v>29</v>
      </c>
      <c r="H553">
        <v>4781.42</v>
      </c>
      <c r="I553">
        <v>4864.34</v>
      </c>
      <c r="J553" t="s">
        <v>17</v>
      </c>
      <c r="K553">
        <v>0.25</v>
      </c>
      <c r="L553" t="s">
        <v>27</v>
      </c>
      <c r="M553" t="s">
        <v>19</v>
      </c>
      <c r="N553" t="s">
        <v>45</v>
      </c>
    </row>
    <row r="554" spans="2:14" x14ac:dyDescent="0.25">
      <c r="B554" s="1">
        <v>45024</v>
      </c>
      <c r="C554" t="s">
        <v>33</v>
      </c>
      <c r="D554" t="s">
        <v>34</v>
      </c>
      <c r="E554">
        <v>3988.03</v>
      </c>
      <c r="F554">
        <v>29</v>
      </c>
      <c r="G554" t="s">
        <v>29</v>
      </c>
      <c r="H554">
        <v>1221.74</v>
      </c>
      <c r="I554">
        <v>1611.92</v>
      </c>
      <c r="J554" t="s">
        <v>30</v>
      </c>
      <c r="K554">
        <v>0.15</v>
      </c>
      <c r="L554" t="s">
        <v>18</v>
      </c>
      <c r="M554" t="s">
        <v>22</v>
      </c>
      <c r="N554" t="s">
        <v>36</v>
      </c>
    </row>
    <row r="555" spans="2:14" x14ac:dyDescent="0.25">
      <c r="B555" s="1">
        <v>45057</v>
      </c>
      <c r="C555" t="s">
        <v>14</v>
      </c>
      <c r="D555" t="s">
        <v>15</v>
      </c>
      <c r="E555">
        <v>5578.37</v>
      </c>
      <c r="F555">
        <v>36</v>
      </c>
      <c r="G555" t="s">
        <v>26</v>
      </c>
      <c r="H555">
        <v>4418.95</v>
      </c>
      <c r="I555">
        <v>4647.87</v>
      </c>
      <c r="J555" t="s">
        <v>30</v>
      </c>
      <c r="K555">
        <v>0.04</v>
      </c>
      <c r="L555" t="s">
        <v>27</v>
      </c>
      <c r="M555" t="s">
        <v>19</v>
      </c>
      <c r="N555" t="s">
        <v>20</v>
      </c>
    </row>
    <row r="556" spans="2:14" x14ac:dyDescent="0.25">
      <c r="B556" s="1">
        <v>45219</v>
      </c>
      <c r="C556" t="s">
        <v>33</v>
      </c>
      <c r="D556" t="s">
        <v>25</v>
      </c>
      <c r="E556">
        <v>5081.01</v>
      </c>
      <c r="F556">
        <v>22</v>
      </c>
      <c r="G556" t="s">
        <v>26</v>
      </c>
      <c r="H556">
        <v>530.04</v>
      </c>
      <c r="I556">
        <v>759.31999999999903</v>
      </c>
      <c r="J556" t="s">
        <v>17</v>
      </c>
      <c r="K556">
        <v>0.17</v>
      </c>
      <c r="L556" t="s">
        <v>27</v>
      </c>
      <c r="M556" t="s">
        <v>22</v>
      </c>
      <c r="N556" t="s">
        <v>44</v>
      </c>
    </row>
    <row r="557" spans="2:14" x14ac:dyDescent="0.25">
      <c r="B557" s="1">
        <v>45097</v>
      </c>
      <c r="C557" t="s">
        <v>42</v>
      </c>
      <c r="D557" t="s">
        <v>25</v>
      </c>
      <c r="E557">
        <v>2019.24</v>
      </c>
      <c r="F557">
        <v>47</v>
      </c>
      <c r="G557" t="s">
        <v>29</v>
      </c>
      <c r="H557">
        <v>325.75</v>
      </c>
      <c r="I557">
        <v>803.71</v>
      </c>
      <c r="J557" t="s">
        <v>30</v>
      </c>
      <c r="K557">
        <v>0.12</v>
      </c>
      <c r="L557" t="s">
        <v>27</v>
      </c>
      <c r="M557" t="s">
        <v>22</v>
      </c>
      <c r="N557" t="s">
        <v>43</v>
      </c>
    </row>
    <row r="558" spans="2:14" x14ac:dyDescent="0.25">
      <c r="B558" s="1">
        <v>45109</v>
      </c>
      <c r="C558" t="s">
        <v>42</v>
      </c>
      <c r="D558" t="s">
        <v>15</v>
      </c>
      <c r="E558">
        <v>8602.2900000000009</v>
      </c>
      <c r="F558">
        <v>36</v>
      </c>
      <c r="G558" t="s">
        <v>35</v>
      </c>
      <c r="H558">
        <v>689.66</v>
      </c>
      <c r="I558">
        <v>1150.28</v>
      </c>
      <c r="J558" t="s">
        <v>30</v>
      </c>
      <c r="K558">
        <v>0.2</v>
      </c>
      <c r="L558" t="s">
        <v>27</v>
      </c>
      <c r="M558" t="s">
        <v>19</v>
      </c>
      <c r="N558" t="s">
        <v>49</v>
      </c>
    </row>
    <row r="559" spans="2:14" x14ac:dyDescent="0.25">
      <c r="B559" s="1">
        <v>45290</v>
      </c>
      <c r="C559" t="s">
        <v>24</v>
      </c>
      <c r="D559" t="s">
        <v>25</v>
      </c>
      <c r="E559">
        <v>6801.71</v>
      </c>
      <c r="F559">
        <v>9</v>
      </c>
      <c r="G559" t="s">
        <v>29</v>
      </c>
      <c r="H559">
        <v>335.82</v>
      </c>
      <c r="I559">
        <v>498.31</v>
      </c>
      <c r="J559" t="s">
        <v>30</v>
      </c>
      <c r="K559">
        <v>0.26</v>
      </c>
      <c r="L559" t="s">
        <v>18</v>
      </c>
      <c r="M559" t="s">
        <v>22</v>
      </c>
      <c r="N559" t="s">
        <v>28</v>
      </c>
    </row>
    <row r="560" spans="2:14" x14ac:dyDescent="0.25">
      <c r="B560" s="1">
        <v>44965</v>
      </c>
      <c r="C560" t="s">
        <v>38</v>
      </c>
      <c r="D560" t="s">
        <v>15</v>
      </c>
      <c r="E560">
        <v>8395.2900000000009</v>
      </c>
      <c r="F560">
        <v>39</v>
      </c>
      <c r="G560" t="s">
        <v>35</v>
      </c>
      <c r="H560">
        <v>4232.8100000000004</v>
      </c>
      <c r="I560">
        <v>4345.25</v>
      </c>
      <c r="J560" t="s">
        <v>17</v>
      </c>
      <c r="K560">
        <v>0.12</v>
      </c>
      <c r="L560" t="s">
        <v>27</v>
      </c>
      <c r="M560" t="s">
        <v>19</v>
      </c>
      <c r="N560" t="s">
        <v>40</v>
      </c>
    </row>
    <row r="561" spans="2:14" x14ac:dyDescent="0.25">
      <c r="B561" s="1">
        <v>44941</v>
      </c>
      <c r="C561" t="s">
        <v>33</v>
      </c>
      <c r="D561" t="s">
        <v>15</v>
      </c>
      <c r="E561">
        <v>8601.77</v>
      </c>
      <c r="F561">
        <v>19</v>
      </c>
      <c r="G561" t="s">
        <v>16</v>
      </c>
      <c r="H561">
        <v>342.3</v>
      </c>
      <c r="I561">
        <v>768.06</v>
      </c>
      <c r="J561" t="s">
        <v>17</v>
      </c>
      <c r="K561">
        <v>0.09</v>
      </c>
      <c r="L561" t="s">
        <v>31</v>
      </c>
      <c r="M561" t="s">
        <v>19</v>
      </c>
      <c r="N561" t="s">
        <v>53</v>
      </c>
    </row>
    <row r="562" spans="2:14" x14ac:dyDescent="0.25">
      <c r="B562" s="1">
        <v>44930</v>
      </c>
      <c r="C562" t="s">
        <v>38</v>
      </c>
      <c r="D562" t="s">
        <v>25</v>
      </c>
      <c r="E562">
        <v>7508.72</v>
      </c>
      <c r="F562">
        <v>38</v>
      </c>
      <c r="G562" t="s">
        <v>16</v>
      </c>
      <c r="H562">
        <v>1394.74</v>
      </c>
      <c r="I562">
        <v>1848.69</v>
      </c>
      <c r="J562" t="s">
        <v>17</v>
      </c>
      <c r="K562">
        <v>0</v>
      </c>
      <c r="L562" t="s">
        <v>27</v>
      </c>
      <c r="M562" t="s">
        <v>22</v>
      </c>
      <c r="N562" t="s">
        <v>39</v>
      </c>
    </row>
    <row r="563" spans="2:14" x14ac:dyDescent="0.25">
      <c r="B563" s="1">
        <v>45275</v>
      </c>
      <c r="C563" t="s">
        <v>24</v>
      </c>
      <c r="D563" t="s">
        <v>21</v>
      </c>
      <c r="E563">
        <v>4448.18</v>
      </c>
      <c r="F563">
        <v>6</v>
      </c>
      <c r="G563" t="s">
        <v>29</v>
      </c>
      <c r="H563">
        <v>563.59</v>
      </c>
      <c r="I563">
        <v>838.97</v>
      </c>
      <c r="J563" t="s">
        <v>30</v>
      </c>
      <c r="K563">
        <v>0.17</v>
      </c>
      <c r="L563" t="s">
        <v>31</v>
      </c>
      <c r="M563" t="s">
        <v>19</v>
      </c>
      <c r="N563" t="s">
        <v>47</v>
      </c>
    </row>
    <row r="564" spans="2:14" x14ac:dyDescent="0.25">
      <c r="B564" s="1">
        <v>45136</v>
      </c>
      <c r="C564" t="s">
        <v>42</v>
      </c>
      <c r="D564" t="s">
        <v>15</v>
      </c>
      <c r="E564">
        <v>6144.41</v>
      </c>
      <c r="F564">
        <v>47</v>
      </c>
      <c r="G564" t="s">
        <v>35</v>
      </c>
      <c r="H564">
        <v>1512.34</v>
      </c>
      <c r="I564">
        <v>1830.76</v>
      </c>
      <c r="J564" t="s">
        <v>30</v>
      </c>
      <c r="K564">
        <v>0.12</v>
      </c>
      <c r="L564" t="s">
        <v>27</v>
      </c>
      <c r="M564" t="s">
        <v>19</v>
      </c>
      <c r="N564" t="s">
        <v>49</v>
      </c>
    </row>
    <row r="565" spans="2:14" x14ac:dyDescent="0.25">
      <c r="B565" s="1">
        <v>45087</v>
      </c>
      <c r="C565" t="s">
        <v>38</v>
      </c>
      <c r="D565" t="s">
        <v>34</v>
      </c>
      <c r="E565">
        <v>1687.62</v>
      </c>
      <c r="F565">
        <v>15</v>
      </c>
      <c r="G565" t="s">
        <v>29</v>
      </c>
      <c r="H565">
        <v>498.27</v>
      </c>
      <c r="I565">
        <v>634.16</v>
      </c>
      <c r="J565" t="s">
        <v>17</v>
      </c>
      <c r="K565">
        <v>0.11</v>
      </c>
      <c r="L565" t="s">
        <v>31</v>
      </c>
      <c r="M565" t="s">
        <v>22</v>
      </c>
      <c r="N565" t="s">
        <v>48</v>
      </c>
    </row>
    <row r="566" spans="2:14" x14ac:dyDescent="0.25">
      <c r="B566" s="1">
        <v>44942</v>
      </c>
      <c r="C566" t="s">
        <v>38</v>
      </c>
      <c r="D566" t="s">
        <v>34</v>
      </c>
      <c r="E566">
        <v>6769.09</v>
      </c>
      <c r="F566">
        <v>20</v>
      </c>
      <c r="G566" t="s">
        <v>29</v>
      </c>
      <c r="H566">
        <v>3356.62</v>
      </c>
      <c r="I566">
        <v>3759.0099999999902</v>
      </c>
      <c r="J566" t="s">
        <v>17</v>
      </c>
      <c r="K566">
        <v>0.05</v>
      </c>
      <c r="L566" t="s">
        <v>31</v>
      </c>
      <c r="M566" t="s">
        <v>22</v>
      </c>
      <c r="N566" t="s">
        <v>48</v>
      </c>
    </row>
    <row r="567" spans="2:14" x14ac:dyDescent="0.25">
      <c r="B567" s="1">
        <v>45034</v>
      </c>
      <c r="C567" t="s">
        <v>42</v>
      </c>
      <c r="D567" t="s">
        <v>25</v>
      </c>
      <c r="E567">
        <v>1874.61</v>
      </c>
      <c r="F567">
        <v>9</v>
      </c>
      <c r="G567" t="s">
        <v>35</v>
      </c>
      <c r="H567">
        <v>709.97</v>
      </c>
      <c r="I567">
        <v>1029.71</v>
      </c>
      <c r="J567" t="s">
        <v>17</v>
      </c>
      <c r="K567">
        <v>0.13</v>
      </c>
      <c r="L567" t="s">
        <v>27</v>
      </c>
      <c r="M567" t="s">
        <v>22</v>
      </c>
      <c r="N567" t="s">
        <v>43</v>
      </c>
    </row>
    <row r="568" spans="2:14" x14ac:dyDescent="0.25">
      <c r="B568" s="1">
        <v>45237</v>
      </c>
      <c r="C568" t="s">
        <v>33</v>
      </c>
      <c r="D568" t="s">
        <v>21</v>
      </c>
      <c r="E568">
        <v>6970.1</v>
      </c>
      <c r="F568">
        <v>32</v>
      </c>
      <c r="G568" t="s">
        <v>29</v>
      </c>
      <c r="H568">
        <v>4266.6400000000003</v>
      </c>
      <c r="I568">
        <v>4523.3599999999997</v>
      </c>
      <c r="J568" t="s">
        <v>30</v>
      </c>
      <c r="K568">
        <v>0.3</v>
      </c>
      <c r="L568" t="s">
        <v>27</v>
      </c>
      <c r="M568" t="s">
        <v>22</v>
      </c>
      <c r="N568" t="s">
        <v>37</v>
      </c>
    </row>
    <row r="569" spans="2:14" x14ac:dyDescent="0.25">
      <c r="B569" s="1">
        <v>45153</v>
      </c>
      <c r="C569" t="s">
        <v>42</v>
      </c>
      <c r="D569" t="s">
        <v>25</v>
      </c>
      <c r="E569">
        <v>2373.02</v>
      </c>
      <c r="F569">
        <v>4</v>
      </c>
      <c r="G569" t="s">
        <v>16</v>
      </c>
      <c r="H569">
        <v>4095.1</v>
      </c>
      <c r="I569">
        <v>4134.55</v>
      </c>
      <c r="J569" t="s">
        <v>17</v>
      </c>
      <c r="K569">
        <v>0.09</v>
      </c>
      <c r="L569" t="s">
        <v>27</v>
      </c>
      <c r="M569" t="s">
        <v>22</v>
      </c>
      <c r="N569" t="s">
        <v>43</v>
      </c>
    </row>
    <row r="570" spans="2:14" x14ac:dyDescent="0.25">
      <c r="B570" s="1">
        <v>45096</v>
      </c>
      <c r="C570" t="s">
        <v>38</v>
      </c>
      <c r="D570" t="s">
        <v>21</v>
      </c>
      <c r="E570">
        <v>1263.76</v>
      </c>
      <c r="F570">
        <v>18</v>
      </c>
      <c r="G570" t="s">
        <v>26</v>
      </c>
      <c r="H570">
        <v>117.63</v>
      </c>
      <c r="I570">
        <v>576.44000000000005</v>
      </c>
      <c r="J570" t="s">
        <v>30</v>
      </c>
      <c r="K570">
        <v>0.18</v>
      </c>
      <c r="L570" t="s">
        <v>31</v>
      </c>
      <c r="M570" t="s">
        <v>22</v>
      </c>
      <c r="N570" t="s">
        <v>41</v>
      </c>
    </row>
    <row r="571" spans="2:14" x14ac:dyDescent="0.25">
      <c r="B571" s="1">
        <v>44960</v>
      </c>
      <c r="C571" t="s">
        <v>33</v>
      </c>
      <c r="D571" t="s">
        <v>15</v>
      </c>
      <c r="E571">
        <v>1736.32</v>
      </c>
      <c r="F571">
        <v>5</v>
      </c>
      <c r="G571" t="s">
        <v>26</v>
      </c>
      <c r="H571">
        <v>4483.8500000000004</v>
      </c>
      <c r="I571">
        <v>4795.42</v>
      </c>
      <c r="J571" t="s">
        <v>17</v>
      </c>
      <c r="K571">
        <v>0.23</v>
      </c>
      <c r="L571" t="s">
        <v>18</v>
      </c>
      <c r="M571" t="s">
        <v>19</v>
      </c>
      <c r="N571" t="s">
        <v>53</v>
      </c>
    </row>
    <row r="572" spans="2:14" x14ac:dyDescent="0.25">
      <c r="B572" s="1">
        <v>45177</v>
      </c>
      <c r="C572" t="s">
        <v>33</v>
      </c>
      <c r="D572" t="s">
        <v>15</v>
      </c>
      <c r="E572">
        <v>119.72</v>
      </c>
      <c r="F572">
        <v>20</v>
      </c>
      <c r="G572" t="s">
        <v>29</v>
      </c>
      <c r="H572">
        <v>193.27</v>
      </c>
      <c r="I572">
        <v>297.69</v>
      </c>
      <c r="J572" t="s">
        <v>30</v>
      </c>
      <c r="K572">
        <v>0.22</v>
      </c>
      <c r="L572" t="s">
        <v>18</v>
      </c>
      <c r="M572" t="s">
        <v>19</v>
      </c>
      <c r="N572" t="s">
        <v>53</v>
      </c>
    </row>
    <row r="573" spans="2:14" x14ac:dyDescent="0.25">
      <c r="B573" s="1">
        <v>45173</v>
      </c>
      <c r="C573" t="s">
        <v>42</v>
      </c>
      <c r="D573" t="s">
        <v>15</v>
      </c>
      <c r="E573">
        <v>7215.52</v>
      </c>
      <c r="F573">
        <v>23</v>
      </c>
      <c r="G573" t="s">
        <v>35</v>
      </c>
      <c r="H573">
        <v>1236.25</v>
      </c>
      <c r="I573">
        <v>1543.38</v>
      </c>
      <c r="J573" t="s">
        <v>30</v>
      </c>
      <c r="K573">
        <v>0.1</v>
      </c>
      <c r="L573" t="s">
        <v>27</v>
      </c>
      <c r="M573" t="s">
        <v>19</v>
      </c>
      <c r="N573" t="s">
        <v>49</v>
      </c>
    </row>
    <row r="574" spans="2:14" x14ac:dyDescent="0.25">
      <c r="B574" s="1">
        <v>45195</v>
      </c>
      <c r="C574" t="s">
        <v>38</v>
      </c>
      <c r="D574" t="s">
        <v>15</v>
      </c>
      <c r="E574">
        <v>7350.77</v>
      </c>
      <c r="F574">
        <v>11</v>
      </c>
      <c r="G574" t="s">
        <v>35</v>
      </c>
      <c r="H574">
        <v>210.33</v>
      </c>
      <c r="I574">
        <v>552.29</v>
      </c>
      <c r="J574" t="s">
        <v>17</v>
      </c>
      <c r="K574">
        <v>0.18</v>
      </c>
      <c r="L574" t="s">
        <v>18</v>
      </c>
      <c r="M574" t="s">
        <v>22</v>
      </c>
      <c r="N574" t="s">
        <v>40</v>
      </c>
    </row>
    <row r="575" spans="2:14" x14ac:dyDescent="0.25">
      <c r="B575" s="1">
        <v>45067</v>
      </c>
      <c r="C575" t="s">
        <v>24</v>
      </c>
      <c r="D575" t="s">
        <v>34</v>
      </c>
      <c r="E575">
        <v>5197.84</v>
      </c>
      <c r="F575">
        <v>37</v>
      </c>
      <c r="G575" t="s">
        <v>16</v>
      </c>
      <c r="H575">
        <v>1712.43</v>
      </c>
      <c r="I575">
        <v>1980.06</v>
      </c>
      <c r="J575" t="s">
        <v>30</v>
      </c>
      <c r="K575">
        <v>0.26</v>
      </c>
      <c r="L575" t="s">
        <v>18</v>
      </c>
      <c r="M575" t="s">
        <v>19</v>
      </c>
      <c r="N575" t="s">
        <v>50</v>
      </c>
    </row>
    <row r="576" spans="2:14" x14ac:dyDescent="0.25">
      <c r="B576" s="1">
        <v>45200</v>
      </c>
      <c r="C576" t="s">
        <v>38</v>
      </c>
      <c r="D576" t="s">
        <v>34</v>
      </c>
      <c r="E576">
        <v>1697.49</v>
      </c>
      <c r="F576">
        <v>22</v>
      </c>
      <c r="G576" t="s">
        <v>35</v>
      </c>
      <c r="H576">
        <v>2593.64</v>
      </c>
      <c r="I576">
        <v>2955.5099999999902</v>
      </c>
      <c r="J576" t="s">
        <v>17</v>
      </c>
      <c r="K576">
        <v>0</v>
      </c>
      <c r="L576" t="s">
        <v>27</v>
      </c>
      <c r="M576" t="s">
        <v>22</v>
      </c>
      <c r="N576" t="s">
        <v>48</v>
      </c>
    </row>
    <row r="577" spans="2:14" x14ac:dyDescent="0.25">
      <c r="B577" s="1">
        <v>45022</v>
      </c>
      <c r="C577" t="s">
        <v>14</v>
      </c>
      <c r="D577" t="s">
        <v>25</v>
      </c>
      <c r="E577">
        <v>927.19</v>
      </c>
      <c r="F577">
        <v>4</v>
      </c>
      <c r="G577" t="s">
        <v>35</v>
      </c>
      <c r="H577">
        <v>3993.39</v>
      </c>
      <c r="I577">
        <v>4288.3</v>
      </c>
      <c r="J577" t="s">
        <v>30</v>
      </c>
      <c r="K577">
        <v>0.13</v>
      </c>
      <c r="L577" t="s">
        <v>31</v>
      </c>
      <c r="M577" t="s">
        <v>19</v>
      </c>
      <c r="N577" t="s">
        <v>32</v>
      </c>
    </row>
    <row r="578" spans="2:14" x14ac:dyDescent="0.25">
      <c r="B578" s="1">
        <v>45153</v>
      </c>
      <c r="C578" t="s">
        <v>24</v>
      </c>
      <c r="D578" t="s">
        <v>21</v>
      </c>
      <c r="E578">
        <v>289.38</v>
      </c>
      <c r="F578">
        <v>29</v>
      </c>
      <c r="G578" t="s">
        <v>16</v>
      </c>
      <c r="H578">
        <v>1723.01</v>
      </c>
      <c r="I578">
        <v>2197.42</v>
      </c>
      <c r="J578" t="s">
        <v>30</v>
      </c>
      <c r="K578">
        <v>7.0000000000000007E-2</v>
      </c>
      <c r="L578" t="s">
        <v>27</v>
      </c>
      <c r="M578" t="s">
        <v>22</v>
      </c>
      <c r="N578" t="s">
        <v>47</v>
      </c>
    </row>
    <row r="579" spans="2:14" x14ac:dyDescent="0.25">
      <c r="B579" s="1">
        <v>44965</v>
      </c>
      <c r="C579" t="s">
        <v>33</v>
      </c>
      <c r="D579" t="s">
        <v>15</v>
      </c>
      <c r="E579">
        <v>1740.91</v>
      </c>
      <c r="F579">
        <v>44</v>
      </c>
      <c r="G579" t="s">
        <v>29</v>
      </c>
      <c r="H579">
        <v>3542.18</v>
      </c>
      <c r="I579">
        <v>3578.49</v>
      </c>
      <c r="J579" t="s">
        <v>17</v>
      </c>
      <c r="K579">
        <v>0.12</v>
      </c>
      <c r="L579" t="s">
        <v>18</v>
      </c>
      <c r="M579" t="s">
        <v>19</v>
      </c>
      <c r="N579" t="s">
        <v>53</v>
      </c>
    </row>
    <row r="580" spans="2:14" x14ac:dyDescent="0.25">
      <c r="B580" s="1">
        <v>45228</v>
      </c>
      <c r="C580" t="s">
        <v>24</v>
      </c>
      <c r="D580" t="s">
        <v>15</v>
      </c>
      <c r="E580">
        <v>8919.4699999999993</v>
      </c>
      <c r="F580">
        <v>34</v>
      </c>
      <c r="G580" t="s">
        <v>26</v>
      </c>
      <c r="H580">
        <v>978.15</v>
      </c>
      <c r="I580">
        <v>1040.21</v>
      </c>
      <c r="J580" t="s">
        <v>30</v>
      </c>
      <c r="K580">
        <v>0.12</v>
      </c>
      <c r="L580" t="s">
        <v>31</v>
      </c>
      <c r="M580" t="s">
        <v>22</v>
      </c>
      <c r="N580" t="s">
        <v>45</v>
      </c>
    </row>
    <row r="581" spans="2:14" x14ac:dyDescent="0.25">
      <c r="B581" s="1">
        <v>44955</v>
      </c>
      <c r="C581" t="s">
        <v>33</v>
      </c>
      <c r="D581" t="s">
        <v>21</v>
      </c>
      <c r="E581">
        <v>2491.21</v>
      </c>
      <c r="F581">
        <v>13</v>
      </c>
      <c r="G581" t="s">
        <v>16</v>
      </c>
      <c r="H581">
        <v>3765.46</v>
      </c>
      <c r="I581">
        <v>3860.56</v>
      </c>
      <c r="J581" t="s">
        <v>17</v>
      </c>
      <c r="K581">
        <v>0.22</v>
      </c>
      <c r="L581" t="s">
        <v>18</v>
      </c>
      <c r="M581" t="s">
        <v>22</v>
      </c>
      <c r="N581" t="s">
        <v>37</v>
      </c>
    </row>
    <row r="582" spans="2:14" x14ac:dyDescent="0.25">
      <c r="B582" s="1">
        <v>45244</v>
      </c>
      <c r="C582" t="s">
        <v>33</v>
      </c>
      <c r="D582" t="s">
        <v>21</v>
      </c>
      <c r="E582">
        <v>3607.29</v>
      </c>
      <c r="F582">
        <v>42</v>
      </c>
      <c r="G582" t="s">
        <v>29</v>
      </c>
      <c r="H582">
        <v>1218.18</v>
      </c>
      <c r="I582">
        <v>1566.36</v>
      </c>
      <c r="J582" t="s">
        <v>17</v>
      </c>
      <c r="K582">
        <v>0.03</v>
      </c>
      <c r="L582" t="s">
        <v>31</v>
      </c>
      <c r="M582" t="s">
        <v>22</v>
      </c>
      <c r="N582" t="s">
        <v>37</v>
      </c>
    </row>
    <row r="583" spans="2:14" x14ac:dyDescent="0.25">
      <c r="B583" s="1">
        <v>45171</v>
      </c>
      <c r="C583" t="s">
        <v>24</v>
      </c>
      <c r="D583" t="s">
        <v>25</v>
      </c>
      <c r="E583">
        <v>1142.92</v>
      </c>
      <c r="F583">
        <v>9</v>
      </c>
      <c r="G583" t="s">
        <v>16</v>
      </c>
      <c r="H583">
        <v>760.55</v>
      </c>
      <c r="I583">
        <v>1086.8899999999901</v>
      </c>
      <c r="J583" t="s">
        <v>17</v>
      </c>
      <c r="K583">
        <v>0.15</v>
      </c>
      <c r="L583" t="s">
        <v>18</v>
      </c>
      <c r="M583" t="s">
        <v>22</v>
      </c>
      <c r="N583" t="s">
        <v>28</v>
      </c>
    </row>
    <row r="584" spans="2:14" x14ac:dyDescent="0.25">
      <c r="B584" s="1">
        <v>45162</v>
      </c>
      <c r="C584" t="s">
        <v>33</v>
      </c>
      <c r="D584" t="s">
        <v>21</v>
      </c>
      <c r="E584">
        <v>2301.38</v>
      </c>
      <c r="F584">
        <v>42</v>
      </c>
      <c r="G584" t="s">
        <v>29</v>
      </c>
      <c r="H584">
        <v>967.77</v>
      </c>
      <c r="I584">
        <v>1414.88</v>
      </c>
      <c r="J584" t="s">
        <v>30</v>
      </c>
      <c r="K584">
        <v>0.17</v>
      </c>
      <c r="L584" t="s">
        <v>27</v>
      </c>
      <c r="M584" t="s">
        <v>19</v>
      </c>
      <c r="N584" t="s">
        <v>37</v>
      </c>
    </row>
    <row r="585" spans="2:14" x14ac:dyDescent="0.25">
      <c r="B585" s="1">
        <v>45111</v>
      </c>
      <c r="C585" t="s">
        <v>33</v>
      </c>
      <c r="D585" t="s">
        <v>15</v>
      </c>
      <c r="E585">
        <v>5240.32</v>
      </c>
      <c r="F585">
        <v>31</v>
      </c>
      <c r="G585" t="s">
        <v>16</v>
      </c>
      <c r="H585">
        <v>951.21</v>
      </c>
      <c r="I585">
        <v>1320.32</v>
      </c>
      <c r="J585" t="s">
        <v>30</v>
      </c>
      <c r="K585">
        <v>0.15</v>
      </c>
      <c r="L585" t="s">
        <v>18</v>
      </c>
      <c r="M585" t="s">
        <v>19</v>
      </c>
      <c r="N585" t="s">
        <v>53</v>
      </c>
    </row>
    <row r="586" spans="2:14" x14ac:dyDescent="0.25">
      <c r="B586" s="1">
        <v>45198</v>
      </c>
      <c r="C586" t="s">
        <v>14</v>
      </c>
      <c r="D586" t="s">
        <v>15</v>
      </c>
      <c r="E586">
        <v>6116.75</v>
      </c>
      <c r="F586">
        <v>7</v>
      </c>
      <c r="G586" t="s">
        <v>29</v>
      </c>
      <c r="H586">
        <v>2588.67</v>
      </c>
      <c r="I586">
        <v>2847.76</v>
      </c>
      <c r="J586" t="s">
        <v>30</v>
      </c>
      <c r="K586">
        <v>0.22</v>
      </c>
      <c r="L586" t="s">
        <v>18</v>
      </c>
      <c r="M586" t="s">
        <v>22</v>
      </c>
      <c r="N586" t="s">
        <v>20</v>
      </c>
    </row>
    <row r="587" spans="2:14" x14ac:dyDescent="0.25">
      <c r="B587" s="1">
        <v>45162</v>
      </c>
      <c r="C587" t="s">
        <v>38</v>
      </c>
      <c r="D587" t="s">
        <v>15</v>
      </c>
      <c r="E587">
        <v>2528.9899999999998</v>
      </c>
      <c r="F587">
        <v>4</v>
      </c>
      <c r="G587" t="s">
        <v>16</v>
      </c>
      <c r="H587">
        <v>4231.75</v>
      </c>
      <c r="I587">
        <v>4727.75</v>
      </c>
      <c r="J587" t="s">
        <v>17</v>
      </c>
      <c r="K587">
        <v>0.12</v>
      </c>
      <c r="L587" t="s">
        <v>31</v>
      </c>
      <c r="M587" t="s">
        <v>22</v>
      </c>
      <c r="N587" t="s">
        <v>40</v>
      </c>
    </row>
    <row r="588" spans="2:14" x14ac:dyDescent="0.25">
      <c r="B588" s="1">
        <v>45165</v>
      </c>
      <c r="C588" t="s">
        <v>38</v>
      </c>
      <c r="D588" t="s">
        <v>15</v>
      </c>
      <c r="E588">
        <v>671.55</v>
      </c>
      <c r="F588">
        <v>19</v>
      </c>
      <c r="G588" t="s">
        <v>29</v>
      </c>
      <c r="H588">
        <v>444.05</v>
      </c>
      <c r="I588">
        <v>584.44000000000005</v>
      </c>
      <c r="J588" t="s">
        <v>17</v>
      </c>
      <c r="K588">
        <v>0.28000000000000003</v>
      </c>
      <c r="L588" t="s">
        <v>18</v>
      </c>
      <c r="M588" t="s">
        <v>22</v>
      </c>
      <c r="N588" t="s">
        <v>40</v>
      </c>
    </row>
    <row r="589" spans="2:14" x14ac:dyDescent="0.25">
      <c r="B589" s="1">
        <v>45192</v>
      </c>
      <c r="C589" t="s">
        <v>14</v>
      </c>
      <c r="D589" t="s">
        <v>15</v>
      </c>
      <c r="E589">
        <v>3971.23</v>
      </c>
      <c r="F589">
        <v>42</v>
      </c>
      <c r="G589" t="s">
        <v>16</v>
      </c>
      <c r="H589">
        <v>3549.43</v>
      </c>
      <c r="I589">
        <v>3967.6899999999901</v>
      </c>
      <c r="J589" t="s">
        <v>30</v>
      </c>
      <c r="K589">
        <v>0.14000000000000001</v>
      </c>
      <c r="L589" t="s">
        <v>27</v>
      </c>
      <c r="M589" t="s">
        <v>19</v>
      </c>
      <c r="N589" t="s">
        <v>20</v>
      </c>
    </row>
    <row r="590" spans="2:14" x14ac:dyDescent="0.25">
      <c r="B590" s="1">
        <v>45285</v>
      </c>
      <c r="C590" t="s">
        <v>24</v>
      </c>
      <c r="D590" t="s">
        <v>25</v>
      </c>
      <c r="E590">
        <v>2418.61</v>
      </c>
      <c r="F590">
        <v>30</v>
      </c>
      <c r="G590" t="s">
        <v>26</v>
      </c>
      <c r="H590">
        <v>3289.01</v>
      </c>
      <c r="I590">
        <v>3508.14</v>
      </c>
      <c r="J590" t="s">
        <v>30</v>
      </c>
      <c r="K590">
        <v>0.17</v>
      </c>
      <c r="L590" t="s">
        <v>27</v>
      </c>
      <c r="M590" t="s">
        <v>22</v>
      </c>
      <c r="N590" t="s">
        <v>28</v>
      </c>
    </row>
    <row r="591" spans="2:14" x14ac:dyDescent="0.25">
      <c r="B591" s="1">
        <v>45266</v>
      </c>
      <c r="C591" t="s">
        <v>42</v>
      </c>
      <c r="D591" t="s">
        <v>15</v>
      </c>
      <c r="E591">
        <v>2273.58</v>
      </c>
      <c r="F591">
        <v>31</v>
      </c>
      <c r="G591" t="s">
        <v>26</v>
      </c>
      <c r="H591">
        <v>4368.97</v>
      </c>
      <c r="I591">
        <v>4696.8500000000004</v>
      </c>
      <c r="J591" t="s">
        <v>17</v>
      </c>
      <c r="K591">
        <v>0.25</v>
      </c>
      <c r="L591" t="s">
        <v>27</v>
      </c>
      <c r="M591" t="s">
        <v>22</v>
      </c>
      <c r="N591" t="s">
        <v>49</v>
      </c>
    </row>
    <row r="592" spans="2:14" x14ac:dyDescent="0.25">
      <c r="B592" s="1">
        <v>44991</v>
      </c>
      <c r="C592" t="s">
        <v>42</v>
      </c>
      <c r="D592" t="s">
        <v>25</v>
      </c>
      <c r="E592">
        <v>9602.64</v>
      </c>
      <c r="F592">
        <v>35</v>
      </c>
      <c r="G592" t="s">
        <v>35</v>
      </c>
      <c r="H592">
        <v>1258.53</v>
      </c>
      <c r="I592">
        <v>1624.8899999999901</v>
      </c>
      <c r="J592" t="s">
        <v>30</v>
      </c>
      <c r="K592">
        <v>0.08</v>
      </c>
      <c r="L592" t="s">
        <v>31</v>
      </c>
      <c r="M592" t="s">
        <v>19</v>
      </c>
      <c r="N592" t="s">
        <v>43</v>
      </c>
    </row>
    <row r="593" spans="2:14" x14ac:dyDescent="0.25">
      <c r="B593" s="1">
        <v>45103</v>
      </c>
      <c r="C593" t="s">
        <v>42</v>
      </c>
      <c r="D593" t="s">
        <v>15</v>
      </c>
      <c r="E593">
        <v>6201.37</v>
      </c>
      <c r="F593">
        <v>21</v>
      </c>
      <c r="G593" t="s">
        <v>29</v>
      </c>
      <c r="H593">
        <v>2278.04</v>
      </c>
      <c r="I593">
        <v>2598.58</v>
      </c>
      <c r="J593" t="s">
        <v>17</v>
      </c>
      <c r="K593">
        <v>0.02</v>
      </c>
      <c r="L593" t="s">
        <v>31</v>
      </c>
      <c r="M593" t="s">
        <v>22</v>
      </c>
      <c r="N593" t="s">
        <v>49</v>
      </c>
    </row>
    <row r="594" spans="2:14" x14ac:dyDescent="0.25">
      <c r="B594" s="1">
        <v>44929</v>
      </c>
      <c r="C594" t="s">
        <v>14</v>
      </c>
      <c r="D594" t="s">
        <v>34</v>
      </c>
      <c r="E594">
        <v>5613.1</v>
      </c>
      <c r="F594">
        <v>31</v>
      </c>
      <c r="G594" t="s">
        <v>16</v>
      </c>
      <c r="H594">
        <v>4632.8500000000004</v>
      </c>
      <c r="I594">
        <v>4711.7</v>
      </c>
      <c r="J594" t="s">
        <v>30</v>
      </c>
      <c r="K594">
        <v>0.21</v>
      </c>
      <c r="L594" t="s">
        <v>18</v>
      </c>
      <c r="M594" t="s">
        <v>22</v>
      </c>
      <c r="N594" t="s">
        <v>46</v>
      </c>
    </row>
    <row r="595" spans="2:14" x14ac:dyDescent="0.25">
      <c r="B595" s="1">
        <v>45068</v>
      </c>
      <c r="C595" t="s">
        <v>14</v>
      </c>
      <c r="D595" t="s">
        <v>34</v>
      </c>
      <c r="E595">
        <v>4216.17</v>
      </c>
      <c r="F595">
        <v>19</v>
      </c>
      <c r="G595" t="s">
        <v>29</v>
      </c>
      <c r="H595">
        <v>3316.97</v>
      </c>
      <c r="I595">
        <v>3544.02</v>
      </c>
      <c r="J595" t="s">
        <v>17</v>
      </c>
      <c r="K595">
        <v>0.14000000000000001</v>
      </c>
      <c r="L595" t="s">
        <v>18</v>
      </c>
      <c r="M595" t="s">
        <v>19</v>
      </c>
      <c r="N595" t="s">
        <v>46</v>
      </c>
    </row>
    <row r="596" spans="2:14" x14ac:dyDescent="0.25">
      <c r="B596" s="1">
        <v>45084</v>
      </c>
      <c r="C596" t="s">
        <v>33</v>
      </c>
      <c r="D596" t="s">
        <v>34</v>
      </c>
      <c r="E596">
        <v>4346.55</v>
      </c>
      <c r="F596">
        <v>31</v>
      </c>
      <c r="G596" t="s">
        <v>26</v>
      </c>
      <c r="H596">
        <v>1974.4</v>
      </c>
      <c r="I596">
        <v>2259.5</v>
      </c>
      <c r="J596" t="s">
        <v>30</v>
      </c>
      <c r="K596">
        <v>0.27</v>
      </c>
      <c r="L596" t="s">
        <v>18</v>
      </c>
      <c r="M596" t="s">
        <v>22</v>
      </c>
      <c r="N596" t="s">
        <v>36</v>
      </c>
    </row>
    <row r="597" spans="2:14" x14ac:dyDescent="0.25">
      <c r="B597" s="1">
        <v>45250</v>
      </c>
      <c r="C597" t="s">
        <v>42</v>
      </c>
      <c r="D597" t="s">
        <v>34</v>
      </c>
      <c r="E597">
        <v>5454.96</v>
      </c>
      <c r="F597">
        <v>32</v>
      </c>
      <c r="G597" t="s">
        <v>29</v>
      </c>
      <c r="H597">
        <v>700.49</v>
      </c>
      <c r="I597">
        <v>1126.52</v>
      </c>
      <c r="J597" t="s">
        <v>30</v>
      </c>
      <c r="K597">
        <v>0.28999999999999998</v>
      </c>
      <c r="L597" t="s">
        <v>31</v>
      </c>
      <c r="M597" t="s">
        <v>22</v>
      </c>
      <c r="N597" t="s">
        <v>52</v>
      </c>
    </row>
    <row r="598" spans="2:14" x14ac:dyDescent="0.25">
      <c r="B598" s="1">
        <v>45072</v>
      </c>
      <c r="C598" t="s">
        <v>24</v>
      </c>
      <c r="D598" t="s">
        <v>25</v>
      </c>
      <c r="E598">
        <v>6994.66</v>
      </c>
      <c r="F598">
        <v>2</v>
      </c>
      <c r="G598" t="s">
        <v>16</v>
      </c>
      <c r="H598">
        <v>1349.3</v>
      </c>
      <c r="I598">
        <v>1576.69</v>
      </c>
      <c r="J598" t="s">
        <v>17</v>
      </c>
      <c r="K598">
        <v>0.12</v>
      </c>
      <c r="L598" t="s">
        <v>31</v>
      </c>
      <c r="M598" t="s">
        <v>19</v>
      </c>
      <c r="N598" t="s">
        <v>28</v>
      </c>
    </row>
    <row r="599" spans="2:14" x14ac:dyDescent="0.25">
      <c r="B599" s="1">
        <v>45219</v>
      </c>
      <c r="C599" t="s">
        <v>24</v>
      </c>
      <c r="D599" t="s">
        <v>25</v>
      </c>
      <c r="E599">
        <v>7051.25</v>
      </c>
      <c r="F599">
        <v>10</v>
      </c>
      <c r="G599" t="s">
        <v>29</v>
      </c>
      <c r="H599">
        <v>2927.02</v>
      </c>
      <c r="I599">
        <v>3387.21</v>
      </c>
      <c r="J599" t="s">
        <v>17</v>
      </c>
      <c r="K599">
        <v>0.12</v>
      </c>
      <c r="L599" t="s">
        <v>18</v>
      </c>
      <c r="M599" t="s">
        <v>22</v>
      </c>
      <c r="N599" t="s">
        <v>28</v>
      </c>
    </row>
    <row r="600" spans="2:14" x14ac:dyDescent="0.25">
      <c r="B600" s="1">
        <v>45079</v>
      </c>
      <c r="C600" t="s">
        <v>42</v>
      </c>
      <c r="D600" t="s">
        <v>21</v>
      </c>
      <c r="E600">
        <v>1799.77</v>
      </c>
      <c r="F600">
        <v>2</v>
      </c>
      <c r="G600" t="s">
        <v>16</v>
      </c>
      <c r="H600">
        <v>3604.93</v>
      </c>
      <c r="I600">
        <v>3830.71</v>
      </c>
      <c r="J600" t="s">
        <v>17</v>
      </c>
      <c r="K600">
        <v>0.12</v>
      </c>
      <c r="L600" t="s">
        <v>31</v>
      </c>
      <c r="M600" t="s">
        <v>19</v>
      </c>
      <c r="N600" t="s">
        <v>51</v>
      </c>
    </row>
    <row r="601" spans="2:14" x14ac:dyDescent="0.25">
      <c r="B601" s="1">
        <v>45119</v>
      </c>
      <c r="C601" t="s">
        <v>42</v>
      </c>
      <c r="D601" t="s">
        <v>15</v>
      </c>
      <c r="E601">
        <v>5051.12</v>
      </c>
      <c r="F601">
        <v>2</v>
      </c>
      <c r="G601" t="s">
        <v>26</v>
      </c>
      <c r="H601">
        <v>665.89</v>
      </c>
      <c r="I601">
        <v>944.79</v>
      </c>
      <c r="J601" t="s">
        <v>30</v>
      </c>
      <c r="K601">
        <v>0.1</v>
      </c>
      <c r="L601" t="s">
        <v>31</v>
      </c>
      <c r="M601" t="s">
        <v>22</v>
      </c>
      <c r="N601" t="s">
        <v>49</v>
      </c>
    </row>
    <row r="602" spans="2:14" x14ac:dyDescent="0.25">
      <c r="B602" s="1">
        <v>44999</v>
      </c>
      <c r="C602" t="s">
        <v>42</v>
      </c>
      <c r="D602" t="s">
        <v>34</v>
      </c>
      <c r="E602">
        <v>4178.3900000000003</v>
      </c>
      <c r="F602">
        <v>24</v>
      </c>
      <c r="G602" t="s">
        <v>26</v>
      </c>
      <c r="H602">
        <v>3018.01</v>
      </c>
      <c r="I602">
        <v>3418.19</v>
      </c>
      <c r="J602" t="s">
        <v>17</v>
      </c>
      <c r="K602">
        <v>0.23</v>
      </c>
      <c r="L602" t="s">
        <v>27</v>
      </c>
      <c r="M602" t="s">
        <v>22</v>
      </c>
      <c r="N602" t="s">
        <v>52</v>
      </c>
    </row>
    <row r="603" spans="2:14" x14ac:dyDescent="0.25">
      <c r="B603" s="1">
        <v>45231</v>
      </c>
      <c r="C603" t="s">
        <v>14</v>
      </c>
      <c r="D603" t="s">
        <v>25</v>
      </c>
      <c r="E603">
        <v>8718.2199999999993</v>
      </c>
      <c r="F603">
        <v>17</v>
      </c>
      <c r="G603" t="s">
        <v>26</v>
      </c>
      <c r="H603">
        <v>2774.24</v>
      </c>
      <c r="I603">
        <v>3069.9399999999901</v>
      </c>
      <c r="J603" t="s">
        <v>17</v>
      </c>
      <c r="K603">
        <v>0.23</v>
      </c>
      <c r="L603" t="s">
        <v>27</v>
      </c>
      <c r="M603" t="s">
        <v>22</v>
      </c>
      <c r="N603" t="s">
        <v>32</v>
      </c>
    </row>
    <row r="604" spans="2:14" x14ac:dyDescent="0.25">
      <c r="B604" s="1">
        <v>45270</v>
      </c>
      <c r="C604" t="s">
        <v>14</v>
      </c>
      <c r="D604" t="s">
        <v>15</v>
      </c>
      <c r="E604">
        <v>6351.05</v>
      </c>
      <c r="F604">
        <v>32</v>
      </c>
      <c r="G604" t="s">
        <v>35</v>
      </c>
      <c r="H604">
        <v>2594.08</v>
      </c>
      <c r="I604">
        <v>3074.59</v>
      </c>
      <c r="J604" t="s">
        <v>30</v>
      </c>
      <c r="K604">
        <v>0.14000000000000001</v>
      </c>
      <c r="L604" t="s">
        <v>18</v>
      </c>
      <c r="M604" t="s">
        <v>22</v>
      </c>
      <c r="N604" t="s">
        <v>20</v>
      </c>
    </row>
    <row r="605" spans="2:14" x14ac:dyDescent="0.25">
      <c r="B605" s="1">
        <v>45066</v>
      </c>
      <c r="C605" t="s">
        <v>14</v>
      </c>
      <c r="D605" t="s">
        <v>15</v>
      </c>
      <c r="E605">
        <v>5371.79</v>
      </c>
      <c r="F605">
        <v>16</v>
      </c>
      <c r="G605" t="s">
        <v>26</v>
      </c>
      <c r="H605">
        <v>3466.11</v>
      </c>
      <c r="I605">
        <v>3799.67</v>
      </c>
      <c r="J605" t="s">
        <v>17</v>
      </c>
      <c r="K605">
        <v>0.01</v>
      </c>
      <c r="L605" t="s">
        <v>18</v>
      </c>
      <c r="M605" t="s">
        <v>22</v>
      </c>
      <c r="N605" t="s">
        <v>20</v>
      </c>
    </row>
    <row r="606" spans="2:14" x14ac:dyDescent="0.25">
      <c r="B606" s="1">
        <v>45113</v>
      </c>
      <c r="C606" t="s">
        <v>38</v>
      </c>
      <c r="D606" t="s">
        <v>25</v>
      </c>
      <c r="E606">
        <v>1242.4100000000001</v>
      </c>
      <c r="F606">
        <v>16</v>
      </c>
      <c r="G606" t="s">
        <v>29</v>
      </c>
      <c r="H606">
        <v>4195.38</v>
      </c>
      <c r="I606">
        <v>4461.51</v>
      </c>
      <c r="J606" t="s">
        <v>17</v>
      </c>
      <c r="K606">
        <v>0.09</v>
      </c>
      <c r="L606" t="s">
        <v>27</v>
      </c>
      <c r="M606" t="s">
        <v>19</v>
      </c>
      <c r="N606" t="s">
        <v>39</v>
      </c>
    </row>
    <row r="607" spans="2:14" x14ac:dyDescent="0.25">
      <c r="B607" s="1">
        <v>45219</v>
      </c>
      <c r="C607" t="s">
        <v>24</v>
      </c>
      <c r="D607" t="s">
        <v>34</v>
      </c>
      <c r="E607">
        <v>6095.82</v>
      </c>
      <c r="F607">
        <v>46</v>
      </c>
      <c r="G607" t="s">
        <v>35</v>
      </c>
      <c r="H607">
        <v>1648.8</v>
      </c>
      <c r="I607">
        <v>1670.36</v>
      </c>
      <c r="J607" t="s">
        <v>17</v>
      </c>
      <c r="K607">
        <v>0.09</v>
      </c>
      <c r="L607" t="s">
        <v>31</v>
      </c>
      <c r="M607" t="s">
        <v>22</v>
      </c>
      <c r="N607" t="s">
        <v>50</v>
      </c>
    </row>
    <row r="608" spans="2:14" x14ac:dyDescent="0.25">
      <c r="B608" s="1">
        <v>44987</v>
      </c>
      <c r="C608" t="s">
        <v>24</v>
      </c>
      <c r="D608" t="s">
        <v>21</v>
      </c>
      <c r="E608">
        <v>1260.32</v>
      </c>
      <c r="F608">
        <v>39</v>
      </c>
      <c r="G608" t="s">
        <v>26</v>
      </c>
      <c r="H608">
        <v>4450.6099999999997</v>
      </c>
      <c r="I608">
        <v>4663.3399999999901</v>
      </c>
      <c r="J608" t="s">
        <v>30</v>
      </c>
      <c r="K608">
        <v>0.24</v>
      </c>
      <c r="L608" t="s">
        <v>18</v>
      </c>
      <c r="M608" t="s">
        <v>22</v>
      </c>
      <c r="N608" t="s">
        <v>47</v>
      </c>
    </row>
    <row r="609" spans="2:14" x14ac:dyDescent="0.25">
      <c r="B609" s="1">
        <v>45124</v>
      </c>
      <c r="C609" t="s">
        <v>33</v>
      </c>
      <c r="D609" t="s">
        <v>15</v>
      </c>
      <c r="E609">
        <v>3438.35</v>
      </c>
      <c r="F609">
        <v>31</v>
      </c>
      <c r="G609" t="s">
        <v>29</v>
      </c>
      <c r="H609">
        <v>845.14</v>
      </c>
      <c r="I609">
        <v>1001.77</v>
      </c>
      <c r="J609" t="s">
        <v>30</v>
      </c>
      <c r="K609">
        <v>0.03</v>
      </c>
      <c r="L609" t="s">
        <v>18</v>
      </c>
      <c r="M609" t="s">
        <v>19</v>
      </c>
      <c r="N609" t="s">
        <v>53</v>
      </c>
    </row>
    <row r="610" spans="2:14" x14ac:dyDescent="0.25">
      <c r="B610" s="1">
        <v>45221</v>
      </c>
      <c r="C610" t="s">
        <v>14</v>
      </c>
      <c r="D610" t="s">
        <v>21</v>
      </c>
      <c r="E610">
        <v>1514.14</v>
      </c>
      <c r="F610">
        <v>43</v>
      </c>
      <c r="G610" t="s">
        <v>29</v>
      </c>
      <c r="H610">
        <v>906.47</v>
      </c>
      <c r="I610">
        <v>1283.04</v>
      </c>
      <c r="J610" t="s">
        <v>30</v>
      </c>
      <c r="K610">
        <v>0.24</v>
      </c>
      <c r="L610" t="s">
        <v>18</v>
      </c>
      <c r="M610" t="s">
        <v>19</v>
      </c>
      <c r="N610" t="s">
        <v>23</v>
      </c>
    </row>
    <row r="611" spans="2:14" x14ac:dyDescent="0.25">
      <c r="B611" s="1">
        <v>45245</v>
      </c>
      <c r="C611" t="s">
        <v>38</v>
      </c>
      <c r="D611" t="s">
        <v>34</v>
      </c>
      <c r="E611">
        <v>6951.53</v>
      </c>
      <c r="F611">
        <v>24</v>
      </c>
      <c r="G611" t="s">
        <v>29</v>
      </c>
      <c r="H611">
        <v>1370.52</v>
      </c>
      <c r="I611">
        <v>1482.58</v>
      </c>
      <c r="J611" t="s">
        <v>17</v>
      </c>
      <c r="K611">
        <v>0.2</v>
      </c>
      <c r="L611" t="s">
        <v>31</v>
      </c>
      <c r="M611" t="s">
        <v>22</v>
      </c>
      <c r="N611" t="s">
        <v>48</v>
      </c>
    </row>
    <row r="612" spans="2:14" x14ac:dyDescent="0.25">
      <c r="B612" s="1">
        <v>45228</v>
      </c>
      <c r="C612" t="s">
        <v>38</v>
      </c>
      <c r="D612" t="s">
        <v>34</v>
      </c>
      <c r="E612">
        <v>2141.9</v>
      </c>
      <c r="F612">
        <v>1</v>
      </c>
      <c r="G612" t="s">
        <v>16</v>
      </c>
      <c r="H612">
        <v>641.67999999999995</v>
      </c>
      <c r="I612">
        <v>752.24</v>
      </c>
      <c r="J612" t="s">
        <v>30</v>
      </c>
      <c r="K612">
        <v>0.22</v>
      </c>
      <c r="L612" t="s">
        <v>27</v>
      </c>
      <c r="M612" t="s">
        <v>19</v>
      </c>
      <c r="N612" t="s">
        <v>48</v>
      </c>
    </row>
    <row r="613" spans="2:14" x14ac:dyDescent="0.25">
      <c r="B613" s="1">
        <v>45270</v>
      </c>
      <c r="C613" t="s">
        <v>24</v>
      </c>
      <c r="D613" t="s">
        <v>21</v>
      </c>
      <c r="E613">
        <v>3979.41</v>
      </c>
      <c r="F613">
        <v>11</v>
      </c>
      <c r="G613" t="s">
        <v>35</v>
      </c>
      <c r="H613">
        <v>1190.08</v>
      </c>
      <c r="I613">
        <v>1292.9399999999901</v>
      </c>
      <c r="J613" t="s">
        <v>17</v>
      </c>
      <c r="K613">
        <v>0.13</v>
      </c>
      <c r="L613" t="s">
        <v>18</v>
      </c>
      <c r="M613" t="s">
        <v>22</v>
      </c>
      <c r="N613" t="s">
        <v>47</v>
      </c>
    </row>
    <row r="614" spans="2:14" x14ac:dyDescent="0.25">
      <c r="B614" s="1">
        <v>44937</v>
      </c>
      <c r="C614" t="s">
        <v>14</v>
      </c>
      <c r="D614" t="s">
        <v>34</v>
      </c>
      <c r="E614">
        <v>8967.18</v>
      </c>
      <c r="F614">
        <v>21</v>
      </c>
      <c r="G614" t="s">
        <v>29</v>
      </c>
      <c r="H614">
        <v>576.74</v>
      </c>
      <c r="I614">
        <v>648.29</v>
      </c>
      <c r="J614" t="s">
        <v>17</v>
      </c>
      <c r="K614">
        <v>0.2</v>
      </c>
      <c r="L614" t="s">
        <v>27</v>
      </c>
      <c r="M614" t="s">
        <v>19</v>
      </c>
      <c r="N614" t="s">
        <v>46</v>
      </c>
    </row>
    <row r="615" spans="2:14" x14ac:dyDescent="0.25">
      <c r="B615" s="1">
        <v>44988</v>
      </c>
      <c r="C615" t="s">
        <v>33</v>
      </c>
      <c r="D615" t="s">
        <v>15</v>
      </c>
      <c r="E615">
        <v>2122.73</v>
      </c>
      <c r="F615">
        <v>4</v>
      </c>
      <c r="G615" t="s">
        <v>16</v>
      </c>
      <c r="H615">
        <v>4117.67</v>
      </c>
      <c r="I615">
        <v>4280.0600000000004</v>
      </c>
      <c r="J615" t="s">
        <v>17</v>
      </c>
      <c r="K615">
        <v>0.18</v>
      </c>
      <c r="L615" t="s">
        <v>27</v>
      </c>
      <c r="M615" t="s">
        <v>19</v>
      </c>
      <c r="N615" t="s">
        <v>53</v>
      </c>
    </row>
    <row r="616" spans="2:14" x14ac:dyDescent="0.25">
      <c r="B616" s="1">
        <v>45259</v>
      </c>
      <c r="C616" t="s">
        <v>14</v>
      </c>
      <c r="D616" t="s">
        <v>21</v>
      </c>
      <c r="E616">
        <v>5127.2700000000004</v>
      </c>
      <c r="F616">
        <v>7</v>
      </c>
      <c r="G616" t="s">
        <v>26</v>
      </c>
      <c r="H616">
        <v>737.9</v>
      </c>
      <c r="I616">
        <v>1182</v>
      </c>
      <c r="J616" t="s">
        <v>30</v>
      </c>
      <c r="K616">
        <v>0.23</v>
      </c>
      <c r="L616" t="s">
        <v>31</v>
      </c>
      <c r="M616" t="s">
        <v>22</v>
      </c>
      <c r="N616" t="s">
        <v>23</v>
      </c>
    </row>
    <row r="617" spans="2:14" x14ac:dyDescent="0.25">
      <c r="B617" s="1">
        <v>45152</v>
      </c>
      <c r="C617" t="s">
        <v>42</v>
      </c>
      <c r="D617" t="s">
        <v>34</v>
      </c>
      <c r="E617">
        <v>4250.79</v>
      </c>
      <c r="F617">
        <v>26</v>
      </c>
      <c r="G617" t="s">
        <v>29</v>
      </c>
      <c r="H617">
        <v>3749.12</v>
      </c>
      <c r="I617">
        <v>4138.83</v>
      </c>
      <c r="J617" t="s">
        <v>30</v>
      </c>
      <c r="K617">
        <v>0.13</v>
      </c>
      <c r="L617" t="s">
        <v>31</v>
      </c>
      <c r="M617" t="s">
        <v>19</v>
      </c>
      <c r="N617" t="s">
        <v>52</v>
      </c>
    </row>
    <row r="618" spans="2:14" x14ac:dyDescent="0.25">
      <c r="B618" s="1">
        <v>45079</v>
      </c>
      <c r="C618" t="s">
        <v>14</v>
      </c>
      <c r="D618" t="s">
        <v>21</v>
      </c>
      <c r="E618">
        <v>279.43</v>
      </c>
      <c r="F618">
        <v>47</v>
      </c>
      <c r="G618" t="s">
        <v>16</v>
      </c>
      <c r="H618">
        <v>287.17</v>
      </c>
      <c r="I618">
        <v>657.44</v>
      </c>
      <c r="J618" t="s">
        <v>17</v>
      </c>
      <c r="K618">
        <v>0.14000000000000001</v>
      </c>
      <c r="L618" t="s">
        <v>31</v>
      </c>
      <c r="M618" t="s">
        <v>22</v>
      </c>
      <c r="N618" t="s">
        <v>23</v>
      </c>
    </row>
    <row r="619" spans="2:14" x14ac:dyDescent="0.25">
      <c r="B619" s="1">
        <v>45125</v>
      </c>
      <c r="C619" t="s">
        <v>42</v>
      </c>
      <c r="D619" t="s">
        <v>15</v>
      </c>
      <c r="E619">
        <v>7948.31</v>
      </c>
      <c r="F619">
        <v>12</v>
      </c>
      <c r="G619" t="s">
        <v>29</v>
      </c>
      <c r="H619">
        <v>4745.18</v>
      </c>
      <c r="I619">
        <v>5145.88</v>
      </c>
      <c r="J619" t="s">
        <v>17</v>
      </c>
      <c r="K619">
        <v>0.19</v>
      </c>
      <c r="L619" t="s">
        <v>31</v>
      </c>
      <c r="M619" t="s">
        <v>19</v>
      </c>
      <c r="N619" t="s">
        <v>49</v>
      </c>
    </row>
    <row r="620" spans="2:14" x14ac:dyDescent="0.25">
      <c r="B620" s="1">
        <v>44978</v>
      </c>
      <c r="C620" t="s">
        <v>42</v>
      </c>
      <c r="D620" t="s">
        <v>34</v>
      </c>
      <c r="E620">
        <v>783.55</v>
      </c>
      <c r="F620">
        <v>31</v>
      </c>
      <c r="G620" t="s">
        <v>35</v>
      </c>
      <c r="H620">
        <v>3570.24</v>
      </c>
      <c r="I620">
        <v>3712.25</v>
      </c>
      <c r="J620" t="s">
        <v>30</v>
      </c>
      <c r="K620">
        <v>0.03</v>
      </c>
      <c r="L620" t="s">
        <v>31</v>
      </c>
      <c r="M620" t="s">
        <v>19</v>
      </c>
      <c r="N620" t="s">
        <v>52</v>
      </c>
    </row>
    <row r="621" spans="2:14" x14ac:dyDescent="0.25">
      <c r="B621" s="1">
        <v>45186</v>
      </c>
      <c r="C621" t="s">
        <v>33</v>
      </c>
      <c r="D621" t="s">
        <v>15</v>
      </c>
      <c r="E621">
        <v>4795.12</v>
      </c>
      <c r="F621">
        <v>17</v>
      </c>
      <c r="G621" t="s">
        <v>35</v>
      </c>
      <c r="H621">
        <v>83.64</v>
      </c>
      <c r="I621">
        <v>528.49</v>
      </c>
      <c r="J621" t="s">
        <v>30</v>
      </c>
      <c r="K621">
        <v>0.13</v>
      </c>
      <c r="L621" t="s">
        <v>31</v>
      </c>
      <c r="M621" t="s">
        <v>19</v>
      </c>
      <c r="N621" t="s">
        <v>53</v>
      </c>
    </row>
    <row r="622" spans="2:14" x14ac:dyDescent="0.25">
      <c r="B622" s="1">
        <v>44985</v>
      </c>
      <c r="C622" t="s">
        <v>24</v>
      </c>
      <c r="D622" t="s">
        <v>34</v>
      </c>
      <c r="E622">
        <v>5650.72</v>
      </c>
      <c r="F622">
        <v>33</v>
      </c>
      <c r="G622" t="s">
        <v>26</v>
      </c>
      <c r="H622">
        <v>3831.09</v>
      </c>
      <c r="I622">
        <v>3908.37</v>
      </c>
      <c r="J622" t="s">
        <v>30</v>
      </c>
      <c r="K622">
        <v>0.28999999999999998</v>
      </c>
      <c r="L622" t="s">
        <v>18</v>
      </c>
      <c r="M622" t="s">
        <v>22</v>
      </c>
      <c r="N622" t="s">
        <v>50</v>
      </c>
    </row>
    <row r="623" spans="2:14" x14ac:dyDescent="0.25">
      <c r="B623" s="1">
        <v>44998</v>
      </c>
      <c r="C623" t="s">
        <v>14</v>
      </c>
      <c r="D623" t="s">
        <v>25</v>
      </c>
      <c r="E623">
        <v>6321.42</v>
      </c>
      <c r="F623">
        <v>11</v>
      </c>
      <c r="G623" t="s">
        <v>29</v>
      </c>
      <c r="H623">
        <v>2594.71</v>
      </c>
      <c r="I623">
        <v>2769.52</v>
      </c>
      <c r="J623" t="s">
        <v>17</v>
      </c>
      <c r="K623">
        <v>0.01</v>
      </c>
      <c r="L623" t="s">
        <v>27</v>
      </c>
      <c r="M623" t="s">
        <v>22</v>
      </c>
      <c r="N623" t="s">
        <v>32</v>
      </c>
    </row>
    <row r="624" spans="2:14" x14ac:dyDescent="0.25">
      <c r="B624" s="1">
        <v>45074</v>
      </c>
      <c r="C624" t="s">
        <v>42</v>
      </c>
      <c r="D624" t="s">
        <v>34</v>
      </c>
      <c r="E624">
        <v>6917.45</v>
      </c>
      <c r="F624">
        <v>28</v>
      </c>
      <c r="G624" t="s">
        <v>16</v>
      </c>
      <c r="H624">
        <v>3907.86</v>
      </c>
      <c r="I624">
        <v>4205.37</v>
      </c>
      <c r="J624" t="s">
        <v>30</v>
      </c>
      <c r="K624">
        <v>0.09</v>
      </c>
      <c r="L624" t="s">
        <v>31</v>
      </c>
      <c r="M624" t="s">
        <v>19</v>
      </c>
      <c r="N624" t="s">
        <v>52</v>
      </c>
    </row>
    <row r="625" spans="2:14" x14ac:dyDescent="0.25">
      <c r="B625" s="1">
        <v>45275</v>
      </c>
      <c r="C625" t="s">
        <v>14</v>
      </c>
      <c r="D625" t="s">
        <v>21</v>
      </c>
      <c r="E625">
        <v>2607.4</v>
      </c>
      <c r="F625">
        <v>32</v>
      </c>
      <c r="G625" t="s">
        <v>26</v>
      </c>
      <c r="H625">
        <v>2636.36</v>
      </c>
      <c r="I625">
        <v>2696.78</v>
      </c>
      <c r="J625" t="s">
        <v>30</v>
      </c>
      <c r="K625">
        <v>0.09</v>
      </c>
      <c r="L625" t="s">
        <v>18</v>
      </c>
      <c r="M625" t="s">
        <v>22</v>
      </c>
      <c r="N625" t="s">
        <v>23</v>
      </c>
    </row>
    <row r="626" spans="2:14" x14ac:dyDescent="0.25">
      <c r="B626" s="1">
        <v>44989</v>
      </c>
      <c r="C626" t="s">
        <v>24</v>
      </c>
      <c r="D626" t="s">
        <v>34</v>
      </c>
      <c r="E626">
        <v>198.79</v>
      </c>
      <c r="F626">
        <v>1</v>
      </c>
      <c r="G626" t="s">
        <v>29</v>
      </c>
      <c r="H626">
        <v>3223.07</v>
      </c>
      <c r="I626">
        <v>3590.83</v>
      </c>
      <c r="J626" t="s">
        <v>30</v>
      </c>
      <c r="K626">
        <v>0.19</v>
      </c>
      <c r="L626" t="s">
        <v>27</v>
      </c>
      <c r="M626" t="s">
        <v>22</v>
      </c>
      <c r="N626" t="s">
        <v>50</v>
      </c>
    </row>
    <row r="627" spans="2:14" x14ac:dyDescent="0.25">
      <c r="B627" s="1">
        <v>45236</v>
      </c>
      <c r="C627" t="s">
        <v>24</v>
      </c>
      <c r="D627" t="s">
        <v>15</v>
      </c>
      <c r="E627">
        <v>7262.09</v>
      </c>
      <c r="F627">
        <v>47</v>
      </c>
      <c r="G627" t="s">
        <v>26</v>
      </c>
      <c r="H627">
        <v>3942.34</v>
      </c>
      <c r="I627">
        <v>4142.09</v>
      </c>
      <c r="J627" t="s">
        <v>17</v>
      </c>
      <c r="K627">
        <v>0.03</v>
      </c>
      <c r="L627" t="s">
        <v>31</v>
      </c>
      <c r="M627" t="s">
        <v>22</v>
      </c>
      <c r="N627" t="s">
        <v>45</v>
      </c>
    </row>
    <row r="628" spans="2:14" x14ac:dyDescent="0.25">
      <c r="B628" s="1">
        <v>45169</v>
      </c>
      <c r="C628" t="s">
        <v>38</v>
      </c>
      <c r="D628" t="s">
        <v>15</v>
      </c>
      <c r="E628">
        <v>5403</v>
      </c>
      <c r="F628">
        <v>28</v>
      </c>
      <c r="G628" t="s">
        <v>16</v>
      </c>
      <c r="H628">
        <v>2055.2800000000002</v>
      </c>
      <c r="I628">
        <v>2449.64</v>
      </c>
      <c r="J628" t="s">
        <v>30</v>
      </c>
      <c r="K628">
        <v>0.19</v>
      </c>
      <c r="L628" t="s">
        <v>31</v>
      </c>
      <c r="M628" t="s">
        <v>19</v>
      </c>
      <c r="N628" t="s">
        <v>40</v>
      </c>
    </row>
    <row r="629" spans="2:14" x14ac:dyDescent="0.25">
      <c r="B629" s="1">
        <v>45292</v>
      </c>
      <c r="C629" t="s">
        <v>24</v>
      </c>
      <c r="D629" t="s">
        <v>34</v>
      </c>
      <c r="E629">
        <v>8377.57</v>
      </c>
      <c r="F629">
        <v>42</v>
      </c>
      <c r="G629" t="s">
        <v>26</v>
      </c>
      <c r="H629">
        <v>63.41</v>
      </c>
      <c r="I629">
        <v>314.93</v>
      </c>
      <c r="J629" t="s">
        <v>17</v>
      </c>
      <c r="K629">
        <v>0.03</v>
      </c>
      <c r="L629" t="s">
        <v>18</v>
      </c>
      <c r="M629" t="s">
        <v>22</v>
      </c>
      <c r="N629" t="s">
        <v>50</v>
      </c>
    </row>
    <row r="630" spans="2:14" x14ac:dyDescent="0.25">
      <c r="B630" s="1">
        <v>45256</v>
      </c>
      <c r="C630" t="s">
        <v>33</v>
      </c>
      <c r="D630" t="s">
        <v>21</v>
      </c>
      <c r="E630">
        <v>8231.74</v>
      </c>
      <c r="F630">
        <v>7</v>
      </c>
      <c r="G630" t="s">
        <v>26</v>
      </c>
      <c r="H630">
        <v>4257.24</v>
      </c>
      <c r="I630">
        <v>4355.87</v>
      </c>
      <c r="J630" t="s">
        <v>17</v>
      </c>
      <c r="K630">
        <v>0.03</v>
      </c>
      <c r="L630" t="s">
        <v>27</v>
      </c>
      <c r="M630" t="s">
        <v>19</v>
      </c>
      <c r="N630" t="s">
        <v>37</v>
      </c>
    </row>
    <row r="631" spans="2:14" x14ac:dyDescent="0.25">
      <c r="B631" s="1">
        <v>45033</v>
      </c>
      <c r="C631" t="s">
        <v>42</v>
      </c>
      <c r="D631" t="s">
        <v>25</v>
      </c>
      <c r="E631">
        <v>8448.93</v>
      </c>
      <c r="F631">
        <v>2</v>
      </c>
      <c r="G631" t="s">
        <v>26</v>
      </c>
      <c r="H631">
        <v>1935.41</v>
      </c>
      <c r="I631">
        <v>2305.44</v>
      </c>
      <c r="J631" t="s">
        <v>17</v>
      </c>
      <c r="K631">
        <v>0.22</v>
      </c>
      <c r="L631" t="s">
        <v>31</v>
      </c>
      <c r="M631" t="s">
        <v>19</v>
      </c>
      <c r="N631" t="s">
        <v>43</v>
      </c>
    </row>
    <row r="632" spans="2:14" x14ac:dyDescent="0.25">
      <c r="B632" s="1">
        <v>45152</v>
      </c>
      <c r="C632" t="s">
        <v>38</v>
      </c>
      <c r="D632" t="s">
        <v>21</v>
      </c>
      <c r="E632">
        <v>4902.4399999999996</v>
      </c>
      <c r="F632">
        <v>42</v>
      </c>
      <c r="G632" t="s">
        <v>29</v>
      </c>
      <c r="H632">
        <v>2505.41</v>
      </c>
      <c r="I632">
        <v>2638.96</v>
      </c>
      <c r="J632" t="s">
        <v>30</v>
      </c>
      <c r="K632">
        <v>0.1</v>
      </c>
      <c r="L632" t="s">
        <v>27</v>
      </c>
      <c r="M632" t="s">
        <v>19</v>
      </c>
      <c r="N632" t="s">
        <v>41</v>
      </c>
    </row>
    <row r="633" spans="2:14" x14ac:dyDescent="0.25">
      <c r="B633" s="1">
        <v>45239</v>
      </c>
      <c r="C633" t="s">
        <v>33</v>
      </c>
      <c r="D633" t="s">
        <v>25</v>
      </c>
      <c r="E633">
        <v>3402.92</v>
      </c>
      <c r="F633">
        <v>24</v>
      </c>
      <c r="G633" t="s">
        <v>16</v>
      </c>
      <c r="H633">
        <v>88.44</v>
      </c>
      <c r="I633">
        <v>338.94</v>
      </c>
      <c r="J633" t="s">
        <v>30</v>
      </c>
      <c r="K633">
        <v>0.28999999999999998</v>
      </c>
      <c r="L633" t="s">
        <v>18</v>
      </c>
      <c r="M633" t="s">
        <v>19</v>
      </c>
      <c r="N633" t="s">
        <v>44</v>
      </c>
    </row>
    <row r="634" spans="2:14" x14ac:dyDescent="0.25">
      <c r="B634" s="1">
        <v>45144</v>
      </c>
      <c r="C634" t="s">
        <v>14</v>
      </c>
      <c r="D634" t="s">
        <v>15</v>
      </c>
      <c r="E634">
        <v>7936.43</v>
      </c>
      <c r="F634">
        <v>4</v>
      </c>
      <c r="G634" t="s">
        <v>35</v>
      </c>
      <c r="H634">
        <v>2485.86</v>
      </c>
      <c r="I634">
        <v>2532.87</v>
      </c>
      <c r="J634" t="s">
        <v>30</v>
      </c>
      <c r="K634">
        <v>0.01</v>
      </c>
      <c r="L634" t="s">
        <v>31</v>
      </c>
      <c r="M634" t="s">
        <v>19</v>
      </c>
      <c r="N634" t="s">
        <v>20</v>
      </c>
    </row>
    <row r="635" spans="2:14" x14ac:dyDescent="0.25">
      <c r="B635" s="1">
        <v>45167</v>
      </c>
      <c r="C635" t="s">
        <v>42</v>
      </c>
      <c r="D635" t="s">
        <v>21</v>
      </c>
      <c r="E635">
        <v>4567.8100000000004</v>
      </c>
      <c r="F635">
        <v>44</v>
      </c>
      <c r="G635" t="s">
        <v>29</v>
      </c>
      <c r="H635">
        <v>4933.1099999999997</v>
      </c>
      <c r="I635">
        <v>5245.86</v>
      </c>
      <c r="J635" t="s">
        <v>17</v>
      </c>
      <c r="K635">
        <v>0.13</v>
      </c>
      <c r="L635" t="s">
        <v>27</v>
      </c>
      <c r="M635" t="s">
        <v>22</v>
      </c>
      <c r="N635" t="s">
        <v>51</v>
      </c>
    </row>
    <row r="636" spans="2:14" x14ac:dyDescent="0.25">
      <c r="B636" s="1">
        <v>45185</v>
      </c>
      <c r="C636" t="s">
        <v>24</v>
      </c>
      <c r="D636" t="s">
        <v>25</v>
      </c>
      <c r="E636">
        <v>1916.08</v>
      </c>
      <c r="F636">
        <v>19</v>
      </c>
      <c r="G636" t="s">
        <v>35</v>
      </c>
      <c r="H636">
        <v>1427.42</v>
      </c>
      <c r="I636">
        <v>1763.69</v>
      </c>
      <c r="J636" t="s">
        <v>30</v>
      </c>
      <c r="K636">
        <v>0.03</v>
      </c>
      <c r="L636" t="s">
        <v>18</v>
      </c>
      <c r="M636" t="s">
        <v>22</v>
      </c>
      <c r="N636" t="s">
        <v>28</v>
      </c>
    </row>
    <row r="637" spans="2:14" x14ac:dyDescent="0.25">
      <c r="B637" s="1">
        <v>45188</v>
      </c>
      <c r="C637" t="s">
        <v>42</v>
      </c>
      <c r="D637" t="s">
        <v>34</v>
      </c>
      <c r="E637">
        <v>8564.24</v>
      </c>
      <c r="F637">
        <v>26</v>
      </c>
      <c r="G637" t="s">
        <v>35</v>
      </c>
      <c r="H637">
        <v>2007.32</v>
      </c>
      <c r="I637">
        <v>2202.87</v>
      </c>
      <c r="J637" t="s">
        <v>17</v>
      </c>
      <c r="K637">
        <v>0.11</v>
      </c>
      <c r="L637" t="s">
        <v>18</v>
      </c>
      <c r="M637" t="s">
        <v>19</v>
      </c>
      <c r="N637" t="s">
        <v>52</v>
      </c>
    </row>
    <row r="638" spans="2:14" x14ac:dyDescent="0.25">
      <c r="B638" s="1">
        <v>44931</v>
      </c>
      <c r="C638" t="s">
        <v>14</v>
      </c>
      <c r="D638" t="s">
        <v>15</v>
      </c>
      <c r="E638">
        <v>8837.34</v>
      </c>
      <c r="F638">
        <v>11</v>
      </c>
      <c r="G638" t="s">
        <v>29</v>
      </c>
      <c r="H638">
        <v>3451.59</v>
      </c>
      <c r="I638">
        <v>3929.26</v>
      </c>
      <c r="J638" t="s">
        <v>30</v>
      </c>
      <c r="K638">
        <v>0.3</v>
      </c>
      <c r="L638" t="s">
        <v>31</v>
      </c>
      <c r="M638" t="s">
        <v>22</v>
      </c>
      <c r="N638" t="s">
        <v>20</v>
      </c>
    </row>
    <row r="639" spans="2:14" x14ac:dyDescent="0.25">
      <c r="B639" s="1">
        <v>45187</v>
      </c>
      <c r="C639" t="s">
        <v>38</v>
      </c>
      <c r="D639" t="s">
        <v>34</v>
      </c>
      <c r="E639">
        <v>4716.47</v>
      </c>
      <c r="F639">
        <v>40</v>
      </c>
      <c r="G639" t="s">
        <v>29</v>
      </c>
      <c r="H639">
        <v>4083.23</v>
      </c>
      <c r="I639">
        <v>4521.57</v>
      </c>
      <c r="J639" t="s">
        <v>30</v>
      </c>
      <c r="K639">
        <v>0.27</v>
      </c>
      <c r="L639" t="s">
        <v>27</v>
      </c>
      <c r="M639" t="s">
        <v>22</v>
      </c>
      <c r="N639" t="s">
        <v>48</v>
      </c>
    </row>
    <row r="640" spans="2:14" x14ac:dyDescent="0.25">
      <c r="B640" s="1">
        <v>44980</v>
      </c>
      <c r="C640" t="s">
        <v>38</v>
      </c>
      <c r="D640" t="s">
        <v>15</v>
      </c>
      <c r="E640">
        <v>849.43</v>
      </c>
      <c r="F640">
        <v>43</v>
      </c>
      <c r="G640" t="s">
        <v>16</v>
      </c>
      <c r="H640">
        <v>2116.09</v>
      </c>
      <c r="I640">
        <v>2472.98</v>
      </c>
      <c r="J640" t="s">
        <v>30</v>
      </c>
      <c r="K640">
        <v>0.01</v>
      </c>
      <c r="L640" t="s">
        <v>31</v>
      </c>
      <c r="M640" t="s">
        <v>22</v>
      </c>
      <c r="N640" t="s">
        <v>40</v>
      </c>
    </row>
    <row r="641" spans="2:14" x14ac:dyDescent="0.25">
      <c r="B641" s="1">
        <v>44973</v>
      </c>
      <c r="C641" t="s">
        <v>38</v>
      </c>
      <c r="D641" t="s">
        <v>21</v>
      </c>
      <c r="E641">
        <v>3939.48</v>
      </c>
      <c r="F641">
        <v>11</v>
      </c>
      <c r="G641" t="s">
        <v>16</v>
      </c>
      <c r="H641">
        <v>1582.86</v>
      </c>
      <c r="I641">
        <v>1942.55</v>
      </c>
      <c r="J641" t="s">
        <v>30</v>
      </c>
      <c r="K641">
        <v>0.17</v>
      </c>
      <c r="L641" t="s">
        <v>31</v>
      </c>
      <c r="M641" t="s">
        <v>22</v>
      </c>
      <c r="N641" t="s">
        <v>41</v>
      </c>
    </row>
    <row r="642" spans="2:14" x14ac:dyDescent="0.25">
      <c r="B642" s="1">
        <v>45141</v>
      </c>
      <c r="C642" t="s">
        <v>24</v>
      </c>
      <c r="D642" t="s">
        <v>21</v>
      </c>
      <c r="E642">
        <v>8055.02</v>
      </c>
      <c r="F642">
        <v>45</v>
      </c>
      <c r="G642" t="s">
        <v>26</v>
      </c>
      <c r="H642">
        <v>4692.24</v>
      </c>
      <c r="I642">
        <v>4825.92</v>
      </c>
      <c r="J642" t="s">
        <v>17</v>
      </c>
      <c r="K642">
        <v>0.19</v>
      </c>
      <c r="L642" t="s">
        <v>27</v>
      </c>
      <c r="M642" t="s">
        <v>22</v>
      </c>
      <c r="N642" t="s">
        <v>47</v>
      </c>
    </row>
    <row r="643" spans="2:14" x14ac:dyDescent="0.25">
      <c r="B643" s="1">
        <v>45103</v>
      </c>
      <c r="C643" t="s">
        <v>33</v>
      </c>
      <c r="D643" t="s">
        <v>15</v>
      </c>
      <c r="E643">
        <v>9027.56</v>
      </c>
      <c r="F643">
        <v>3</v>
      </c>
      <c r="G643" t="s">
        <v>35</v>
      </c>
      <c r="H643">
        <v>3401.87</v>
      </c>
      <c r="I643">
        <v>3733.71</v>
      </c>
      <c r="J643" t="s">
        <v>17</v>
      </c>
      <c r="K643">
        <v>0.06</v>
      </c>
      <c r="L643" t="s">
        <v>27</v>
      </c>
      <c r="M643" t="s">
        <v>22</v>
      </c>
      <c r="N643" t="s">
        <v>53</v>
      </c>
    </row>
    <row r="644" spans="2:14" x14ac:dyDescent="0.25">
      <c r="B644" s="1">
        <v>44935</v>
      </c>
      <c r="C644" t="s">
        <v>33</v>
      </c>
      <c r="D644" t="s">
        <v>15</v>
      </c>
      <c r="E644">
        <v>2114.38</v>
      </c>
      <c r="F644">
        <v>12</v>
      </c>
      <c r="G644" t="s">
        <v>16</v>
      </c>
      <c r="H644">
        <v>639.16</v>
      </c>
      <c r="I644">
        <v>746.28</v>
      </c>
      <c r="J644" t="s">
        <v>17</v>
      </c>
      <c r="K644">
        <v>0.04</v>
      </c>
      <c r="L644" t="s">
        <v>27</v>
      </c>
      <c r="M644" t="s">
        <v>22</v>
      </c>
      <c r="N644" t="s">
        <v>53</v>
      </c>
    </row>
    <row r="645" spans="2:14" x14ac:dyDescent="0.25">
      <c r="B645" s="1">
        <v>45025</v>
      </c>
      <c r="C645" t="s">
        <v>42</v>
      </c>
      <c r="D645" t="s">
        <v>15</v>
      </c>
      <c r="E645">
        <v>763.04</v>
      </c>
      <c r="F645">
        <v>3</v>
      </c>
      <c r="G645" t="s">
        <v>26</v>
      </c>
      <c r="H645">
        <v>391.19</v>
      </c>
      <c r="I645">
        <v>471.75</v>
      </c>
      <c r="J645" t="s">
        <v>17</v>
      </c>
      <c r="K645">
        <v>0.27</v>
      </c>
      <c r="L645" t="s">
        <v>18</v>
      </c>
      <c r="M645" t="s">
        <v>19</v>
      </c>
      <c r="N645" t="s">
        <v>49</v>
      </c>
    </row>
    <row r="646" spans="2:14" x14ac:dyDescent="0.25">
      <c r="B646" s="1">
        <v>44946</v>
      </c>
      <c r="C646" t="s">
        <v>24</v>
      </c>
      <c r="D646" t="s">
        <v>21</v>
      </c>
      <c r="E646">
        <v>8785.77</v>
      </c>
      <c r="F646">
        <v>42</v>
      </c>
      <c r="G646" t="s">
        <v>16</v>
      </c>
      <c r="H646">
        <v>2443.5700000000002</v>
      </c>
      <c r="I646">
        <v>2943.31</v>
      </c>
      <c r="J646" t="s">
        <v>30</v>
      </c>
      <c r="K646">
        <v>0.28999999999999998</v>
      </c>
      <c r="L646" t="s">
        <v>18</v>
      </c>
      <c r="M646" t="s">
        <v>19</v>
      </c>
      <c r="N646" t="s">
        <v>47</v>
      </c>
    </row>
    <row r="647" spans="2:14" x14ac:dyDescent="0.25">
      <c r="B647" s="1">
        <v>45167</v>
      </c>
      <c r="C647" t="s">
        <v>38</v>
      </c>
      <c r="D647" t="s">
        <v>25</v>
      </c>
      <c r="E647">
        <v>3955.11</v>
      </c>
      <c r="F647">
        <v>27</v>
      </c>
      <c r="G647" t="s">
        <v>29</v>
      </c>
      <c r="H647">
        <v>1139.45</v>
      </c>
      <c r="I647">
        <v>1454.41</v>
      </c>
      <c r="J647" t="s">
        <v>17</v>
      </c>
      <c r="K647">
        <v>0.3</v>
      </c>
      <c r="L647" t="s">
        <v>27</v>
      </c>
      <c r="M647" t="s">
        <v>19</v>
      </c>
      <c r="N647" t="s">
        <v>39</v>
      </c>
    </row>
    <row r="648" spans="2:14" x14ac:dyDescent="0.25">
      <c r="B648" s="1">
        <v>44987</v>
      </c>
      <c r="C648" t="s">
        <v>38</v>
      </c>
      <c r="D648" t="s">
        <v>34</v>
      </c>
      <c r="E648">
        <v>5463.43</v>
      </c>
      <c r="F648">
        <v>49</v>
      </c>
      <c r="G648" t="s">
        <v>16</v>
      </c>
      <c r="H648">
        <v>1307.22</v>
      </c>
      <c r="I648">
        <v>1528.4</v>
      </c>
      <c r="J648" t="s">
        <v>17</v>
      </c>
      <c r="K648">
        <v>0.24</v>
      </c>
      <c r="L648" t="s">
        <v>18</v>
      </c>
      <c r="M648" t="s">
        <v>22</v>
      </c>
      <c r="N648" t="s">
        <v>48</v>
      </c>
    </row>
    <row r="649" spans="2:14" x14ac:dyDescent="0.25">
      <c r="B649" s="1">
        <v>45104</v>
      </c>
      <c r="C649" t="s">
        <v>14</v>
      </c>
      <c r="D649" t="s">
        <v>34</v>
      </c>
      <c r="E649">
        <v>9683.85</v>
      </c>
      <c r="F649">
        <v>2</v>
      </c>
      <c r="G649" t="s">
        <v>35</v>
      </c>
      <c r="H649">
        <v>4394.58</v>
      </c>
      <c r="I649">
        <v>4545.78</v>
      </c>
      <c r="J649" t="s">
        <v>17</v>
      </c>
      <c r="K649">
        <v>0.2</v>
      </c>
      <c r="L649" t="s">
        <v>31</v>
      </c>
      <c r="M649" t="s">
        <v>22</v>
      </c>
      <c r="N649" t="s">
        <v>46</v>
      </c>
    </row>
    <row r="650" spans="2:14" x14ac:dyDescent="0.25">
      <c r="B650" s="1">
        <v>45264</v>
      </c>
      <c r="C650" t="s">
        <v>14</v>
      </c>
      <c r="D650" t="s">
        <v>21</v>
      </c>
      <c r="E650">
        <v>758.99</v>
      </c>
      <c r="F650">
        <v>49</v>
      </c>
      <c r="G650" t="s">
        <v>16</v>
      </c>
      <c r="H650">
        <v>493.35</v>
      </c>
      <c r="I650">
        <v>799.27</v>
      </c>
      <c r="J650" t="s">
        <v>30</v>
      </c>
      <c r="K650">
        <v>0.1</v>
      </c>
      <c r="L650" t="s">
        <v>27</v>
      </c>
      <c r="M650" t="s">
        <v>19</v>
      </c>
      <c r="N650" t="s">
        <v>23</v>
      </c>
    </row>
    <row r="651" spans="2:14" x14ac:dyDescent="0.25">
      <c r="B651" s="1">
        <v>44988</v>
      </c>
      <c r="C651" t="s">
        <v>38</v>
      </c>
      <c r="D651" t="s">
        <v>34</v>
      </c>
      <c r="E651">
        <v>6518.35</v>
      </c>
      <c r="F651">
        <v>16</v>
      </c>
      <c r="G651" t="s">
        <v>35</v>
      </c>
      <c r="H651">
        <v>3591.05</v>
      </c>
      <c r="I651">
        <v>3625.35</v>
      </c>
      <c r="J651" t="s">
        <v>17</v>
      </c>
      <c r="K651">
        <v>0.05</v>
      </c>
      <c r="L651" t="s">
        <v>31</v>
      </c>
      <c r="M651" t="s">
        <v>22</v>
      </c>
      <c r="N651" t="s">
        <v>48</v>
      </c>
    </row>
    <row r="652" spans="2:14" x14ac:dyDescent="0.25">
      <c r="B652" s="1">
        <v>45071</v>
      </c>
      <c r="C652" t="s">
        <v>38</v>
      </c>
      <c r="D652" t="s">
        <v>15</v>
      </c>
      <c r="E652">
        <v>833.64</v>
      </c>
      <c r="F652">
        <v>2</v>
      </c>
      <c r="G652" t="s">
        <v>29</v>
      </c>
      <c r="H652">
        <v>1392.15</v>
      </c>
      <c r="I652">
        <v>1448.54</v>
      </c>
      <c r="J652" t="s">
        <v>17</v>
      </c>
      <c r="K652">
        <v>0.02</v>
      </c>
      <c r="L652" t="s">
        <v>27</v>
      </c>
      <c r="M652" t="s">
        <v>22</v>
      </c>
      <c r="N652" t="s">
        <v>40</v>
      </c>
    </row>
    <row r="653" spans="2:14" x14ac:dyDescent="0.25">
      <c r="B653" s="1">
        <v>45142</v>
      </c>
      <c r="C653" t="s">
        <v>24</v>
      </c>
      <c r="D653" t="s">
        <v>25</v>
      </c>
      <c r="E653">
        <v>3817.14</v>
      </c>
      <c r="F653">
        <v>30</v>
      </c>
      <c r="G653" t="s">
        <v>35</v>
      </c>
      <c r="H653">
        <v>3813.62</v>
      </c>
      <c r="I653">
        <v>3839.72</v>
      </c>
      <c r="J653" t="s">
        <v>30</v>
      </c>
      <c r="K653">
        <v>0.21</v>
      </c>
      <c r="L653" t="s">
        <v>31</v>
      </c>
      <c r="M653" t="s">
        <v>19</v>
      </c>
      <c r="N653" t="s">
        <v>28</v>
      </c>
    </row>
    <row r="654" spans="2:14" x14ac:dyDescent="0.25">
      <c r="B654" s="1">
        <v>44929</v>
      </c>
      <c r="C654" t="s">
        <v>33</v>
      </c>
      <c r="D654" t="s">
        <v>34</v>
      </c>
      <c r="E654">
        <v>8057.76</v>
      </c>
      <c r="F654">
        <v>20</v>
      </c>
      <c r="G654" t="s">
        <v>16</v>
      </c>
      <c r="H654">
        <v>3625.94</v>
      </c>
      <c r="I654">
        <v>3880.53</v>
      </c>
      <c r="J654" t="s">
        <v>30</v>
      </c>
      <c r="K654">
        <v>0.24</v>
      </c>
      <c r="L654" t="s">
        <v>27</v>
      </c>
      <c r="M654" t="s">
        <v>19</v>
      </c>
      <c r="N654" t="s">
        <v>36</v>
      </c>
    </row>
    <row r="655" spans="2:14" x14ac:dyDescent="0.25">
      <c r="B655" s="1">
        <v>45086</v>
      </c>
      <c r="C655" t="s">
        <v>14</v>
      </c>
      <c r="D655" t="s">
        <v>25</v>
      </c>
      <c r="E655">
        <v>4391.38</v>
      </c>
      <c r="F655">
        <v>38</v>
      </c>
      <c r="G655" t="s">
        <v>26</v>
      </c>
      <c r="H655">
        <v>86.59</v>
      </c>
      <c r="I655">
        <v>390.89</v>
      </c>
      <c r="J655" t="s">
        <v>17</v>
      </c>
      <c r="K655">
        <v>0.25</v>
      </c>
      <c r="L655" t="s">
        <v>31</v>
      </c>
      <c r="M655" t="s">
        <v>19</v>
      </c>
      <c r="N655" t="s">
        <v>32</v>
      </c>
    </row>
    <row r="656" spans="2:14" x14ac:dyDescent="0.25">
      <c r="B656" s="1">
        <v>45153</v>
      </c>
      <c r="C656" t="s">
        <v>33</v>
      </c>
      <c r="D656" t="s">
        <v>15</v>
      </c>
      <c r="E656">
        <v>9972.11</v>
      </c>
      <c r="F656">
        <v>28</v>
      </c>
      <c r="G656" t="s">
        <v>29</v>
      </c>
      <c r="H656">
        <v>2570.2199999999998</v>
      </c>
      <c r="I656">
        <v>2610.8399999999901</v>
      </c>
      <c r="J656" t="s">
        <v>17</v>
      </c>
      <c r="K656">
        <v>0.27</v>
      </c>
      <c r="L656" t="s">
        <v>27</v>
      </c>
      <c r="M656" t="s">
        <v>22</v>
      </c>
      <c r="N656" t="s">
        <v>53</v>
      </c>
    </row>
    <row r="657" spans="2:14" x14ac:dyDescent="0.25">
      <c r="B657" s="1">
        <v>45195</v>
      </c>
      <c r="C657" t="s">
        <v>24</v>
      </c>
      <c r="D657" t="s">
        <v>34</v>
      </c>
      <c r="E657">
        <v>5634.69</v>
      </c>
      <c r="F657">
        <v>25</v>
      </c>
      <c r="G657" t="s">
        <v>16</v>
      </c>
      <c r="H657">
        <v>739.63</v>
      </c>
      <c r="I657">
        <v>1103.03</v>
      </c>
      <c r="J657" t="s">
        <v>30</v>
      </c>
      <c r="K657">
        <v>0.26</v>
      </c>
      <c r="L657" t="s">
        <v>27</v>
      </c>
      <c r="M657" t="s">
        <v>22</v>
      </c>
      <c r="N657" t="s">
        <v>50</v>
      </c>
    </row>
    <row r="658" spans="2:14" x14ac:dyDescent="0.25">
      <c r="B658" s="1">
        <v>45046</v>
      </c>
      <c r="C658" t="s">
        <v>38</v>
      </c>
      <c r="D658" t="s">
        <v>21</v>
      </c>
      <c r="E658">
        <v>3279.51</v>
      </c>
      <c r="F658">
        <v>32</v>
      </c>
      <c r="G658" t="s">
        <v>29</v>
      </c>
      <c r="H658">
        <v>4337.82</v>
      </c>
      <c r="I658">
        <v>4460.71</v>
      </c>
      <c r="J658" t="s">
        <v>17</v>
      </c>
      <c r="K658">
        <v>0.3</v>
      </c>
      <c r="L658" t="s">
        <v>18</v>
      </c>
      <c r="M658" t="s">
        <v>22</v>
      </c>
      <c r="N658" t="s">
        <v>41</v>
      </c>
    </row>
    <row r="659" spans="2:14" x14ac:dyDescent="0.25">
      <c r="B659" s="1">
        <v>45015</v>
      </c>
      <c r="C659" t="s">
        <v>33</v>
      </c>
      <c r="D659" t="s">
        <v>25</v>
      </c>
      <c r="E659">
        <v>2279.1</v>
      </c>
      <c r="F659">
        <v>10</v>
      </c>
      <c r="G659" t="s">
        <v>29</v>
      </c>
      <c r="H659">
        <v>4364.3500000000004</v>
      </c>
      <c r="I659">
        <v>4710.1000000000004</v>
      </c>
      <c r="J659" t="s">
        <v>30</v>
      </c>
      <c r="K659">
        <v>7.0000000000000007E-2</v>
      </c>
      <c r="L659" t="s">
        <v>31</v>
      </c>
      <c r="M659" t="s">
        <v>19</v>
      </c>
      <c r="N659" t="s">
        <v>44</v>
      </c>
    </row>
    <row r="660" spans="2:14" x14ac:dyDescent="0.25">
      <c r="B660" s="1">
        <v>45255</v>
      </c>
      <c r="C660" t="s">
        <v>38</v>
      </c>
      <c r="D660" t="s">
        <v>15</v>
      </c>
      <c r="E660">
        <v>3570.15</v>
      </c>
      <c r="F660">
        <v>42</v>
      </c>
      <c r="G660" t="s">
        <v>16</v>
      </c>
      <c r="H660">
        <v>2120.81</v>
      </c>
      <c r="I660">
        <v>2611.94</v>
      </c>
      <c r="J660" t="s">
        <v>17</v>
      </c>
      <c r="K660">
        <v>0.23</v>
      </c>
      <c r="L660" t="s">
        <v>18</v>
      </c>
      <c r="M660" t="s">
        <v>19</v>
      </c>
      <c r="N660" t="s">
        <v>40</v>
      </c>
    </row>
    <row r="661" spans="2:14" x14ac:dyDescent="0.25">
      <c r="B661" s="1">
        <v>44994</v>
      </c>
      <c r="C661" t="s">
        <v>38</v>
      </c>
      <c r="D661" t="s">
        <v>25</v>
      </c>
      <c r="E661">
        <v>3788.08</v>
      </c>
      <c r="F661">
        <v>40</v>
      </c>
      <c r="G661" t="s">
        <v>16</v>
      </c>
      <c r="H661">
        <v>2249.7600000000002</v>
      </c>
      <c r="I661">
        <v>2598.4</v>
      </c>
      <c r="J661" t="s">
        <v>17</v>
      </c>
      <c r="K661">
        <v>0.18</v>
      </c>
      <c r="L661" t="s">
        <v>31</v>
      </c>
      <c r="M661" t="s">
        <v>22</v>
      </c>
      <c r="N661" t="s">
        <v>39</v>
      </c>
    </row>
    <row r="662" spans="2:14" x14ac:dyDescent="0.25">
      <c r="B662" s="1">
        <v>45283</v>
      </c>
      <c r="C662" t="s">
        <v>42</v>
      </c>
      <c r="D662" t="s">
        <v>34</v>
      </c>
      <c r="E662">
        <v>780.27</v>
      </c>
      <c r="F662">
        <v>33</v>
      </c>
      <c r="G662" t="s">
        <v>26</v>
      </c>
      <c r="H662">
        <v>1551.25</v>
      </c>
      <c r="I662">
        <v>1994.01</v>
      </c>
      <c r="J662" t="s">
        <v>17</v>
      </c>
      <c r="K662">
        <v>0.08</v>
      </c>
      <c r="L662" t="s">
        <v>18</v>
      </c>
      <c r="M662" t="s">
        <v>19</v>
      </c>
      <c r="N662" t="s">
        <v>52</v>
      </c>
    </row>
    <row r="663" spans="2:14" x14ac:dyDescent="0.25">
      <c r="B663" s="1">
        <v>45024</v>
      </c>
      <c r="C663" t="s">
        <v>33</v>
      </c>
      <c r="D663" t="s">
        <v>34</v>
      </c>
      <c r="E663">
        <v>3758.78</v>
      </c>
      <c r="F663">
        <v>13</v>
      </c>
      <c r="G663" t="s">
        <v>29</v>
      </c>
      <c r="H663">
        <v>3597.2</v>
      </c>
      <c r="I663">
        <v>4071.8199999999902</v>
      </c>
      <c r="J663" t="s">
        <v>17</v>
      </c>
      <c r="K663">
        <v>0.28999999999999998</v>
      </c>
      <c r="L663" t="s">
        <v>27</v>
      </c>
      <c r="M663" t="s">
        <v>19</v>
      </c>
      <c r="N663" t="s">
        <v>36</v>
      </c>
    </row>
    <row r="664" spans="2:14" x14ac:dyDescent="0.25">
      <c r="B664" s="1">
        <v>45193</v>
      </c>
      <c r="C664" t="s">
        <v>33</v>
      </c>
      <c r="D664" t="s">
        <v>21</v>
      </c>
      <c r="E664">
        <v>4695.96</v>
      </c>
      <c r="F664">
        <v>41</v>
      </c>
      <c r="G664" t="s">
        <v>29</v>
      </c>
      <c r="H664">
        <v>1825.37</v>
      </c>
      <c r="I664">
        <v>2073.88</v>
      </c>
      <c r="J664" t="s">
        <v>17</v>
      </c>
      <c r="K664">
        <v>0.27</v>
      </c>
      <c r="L664" t="s">
        <v>18</v>
      </c>
      <c r="M664" t="s">
        <v>22</v>
      </c>
      <c r="N664" t="s">
        <v>37</v>
      </c>
    </row>
    <row r="665" spans="2:14" x14ac:dyDescent="0.25">
      <c r="B665" s="1">
        <v>45031</v>
      </c>
      <c r="C665" t="s">
        <v>38</v>
      </c>
      <c r="D665" t="s">
        <v>15</v>
      </c>
      <c r="E665">
        <v>7255.1</v>
      </c>
      <c r="F665">
        <v>42</v>
      </c>
      <c r="G665" t="s">
        <v>16</v>
      </c>
      <c r="H665">
        <v>1375.57</v>
      </c>
      <c r="I665">
        <v>1729.71</v>
      </c>
      <c r="J665" t="s">
        <v>30</v>
      </c>
      <c r="K665">
        <v>0.04</v>
      </c>
      <c r="L665" t="s">
        <v>18</v>
      </c>
      <c r="M665" t="s">
        <v>19</v>
      </c>
      <c r="N665" t="s">
        <v>40</v>
      </c>
    </row>
    <row r="666" spans="2:14" x14ac:dyDescent="0.25">
      <c r="B666" s="1">
        <v>45249</v>
      </c>
      <c r="C666" t="s">
        <v>24</v>
      </c>
      <c r="D666" t="s">
        <v>15</v>
      </c>
      <c r="E666">
        <v>6601.62</v>
      </c>
      <c r="F666">
        <v>47</v>
      </c>
      <c r="G666" t="s">
        <v>35</v>
      </c>
      <c r="H666">
        <v>2189.54</v>
      </c>
      <c r="I666">
        <v>2617</v>
      </c>
      <c r="J666" t="s">
        <v>30</v>
      </c>
      <c r="K666">
        <v>0.01</v>
      </c>
      <c r="L666" t="s">
        <v>27</v>
      </c>
      <c r="M666" t="s">
        <v>19</v>
      </c>
      <c r="N666" t="s">
        <v>45</v>
      </c>
    </row>
    <row r="667" spans="2:14" x14ac:dyDescent="0.25">
      <c r="B667" s="1">
        <v>45049</v>
      </c>
      <c r="C667" t="s">
        <v>42</v>
      </c>
      <c r="D667" t="s">
        <v>21</v>
      </c>
      <c r="E667">
        <v>7116.78</v>
      </c>
      <c r="F667">
        <v>37</v>
      </c>
      <c r="G667" t="s">
        <v>16</v>
      </c>
      <c r="H667">
        <v>502.86</v>
      </c>
      <c r="I667">
        <v>687.6</v>
      </c>
      <c r="J667" t="s">
        <v>17</v>
      </c>
      <c r="K667">
        <v>0.21</v>
      </c>
      <c r="L667" t="s">
        <v>18</v>
      </c>
      <c r="M667" t="s">
        <v>19</v>
      </c>
      <c r="N667" t="s">
        <v>51</v>
      </c>
    </row>
    <row r="668" spans="2:14" x14ac:dyDescent="0.25">
      <c r="B668" s="1">
        <v>44955</v>
      </c>
      <c r="C668" t="s">
        <v>38</v>
      </c>
      <c r="D668" t="s">
        <v>21</v>
      </c>
      <c r="E668">
        <v>182.8</v>
      </c>
      <c r="F668">
        <v>16</v>
      </c>
      <c r="G668" t="s">
        <v>29</v>
      </c>
      <c r="H668">
        <v>3745.69</v>
      </c>
      <c r="I668">
        <v>3883.77</v>
      </c>
      <c r="J668" t="s">
        <v>17</v>
      </c>
      <c r="K668">
        <v>0.18</v>
      </c>
      <c r="L668" t="s">
        <v>27</v>
      </c>
      <c r="M668" t="s">
        <v>22</v>
      </c>
      <c r="N668" t="s">
        <v>41</v>
      </c>
    </row>
    <row r="669" spans="2:14" x14ac:dyDescent="0.25">
      <c r="B669" s="1">
        <v>45063</v>
      </c>
      <c r="C669" t="s">
        <v>14</v>
      </c>
      <c r="D669" t="s">
        <v>15</v>
      </c>
      <c r="E669">
        <v>2254.91</v>
      </c>
      <c r="F669">
        <v>45</v>
      </c>
      <c r="G669" t="s">
        <v>16</v>
      </c>
      <c r="H669">
        <v>112.35</v>
      </c>
      <c r="I669">
        <v>586.17999999999995</v>
      </c>
      <c r="J669" t="s">
        <v>17</v>
      </c>
      <c r="K669">
        <v>0.28000000000000003</v>
      </c>
      <c r="L669" t="s">
        <v>31</v>
      </c>
      <c r="M669" t="s">
        <v>22</v>
      </c>
      <c r="N669" t="s">
        <v>20</v>
      </c>
    </row>
    <row r="670" spans="2:14" x14ac:dyDescent="0.25">
      <c r="B670" s="1">
        <v>45121</v>
      </c>
      <c r="C670" t="s">
        <v>14</v>
      </c>
      <c r="D670" t="s">
        <v>25</v>
      </c>
      <c r="E670">
        <v>6650.67</v>
      </c>
      <c r="F670">
        <v>22</v>
      </c>
      <c r="G670" t="s">
        <v>26</v>
      </c>
      <c r="H670">
        <v>3240.2</v>
      </c>
      <c r="I670">
        <v>3606.0899999999901</v>
      </c>
      <c r="J670" t="s">
        <v>30</v>
      </c>
      <c r="K670">
        <v>7.0000000000000007E-2</v>
      </c>
      <c r="L670" t="s">
        <v>18</v>
      </c>
      <c r="M670" t="s">
        <v>19</v>
      </c>
      <c r="N670" t="s">
        <v>32</v>
      </c>
    </row>
    <row r="671" spans="2:14" x14ac:dyDescent="0.25">
      <c r="B671" s="1">
        <v>45152</v>
      </c>
      <c r="C671" t="s">
        <v>42</v>
      </c>
      <c r="D671" t="s">
        <v>25</v>
      </c>
      <c r="E671">
        <v>4891.49</v>
      </c>
      <c r="F671">
        <v>20</v>
      </c>
      <c r="G671" t="s">
        <v>35</v>
      </c>
      <c r="H671">
        <v>955.18</v>
      </c>
      <c r="I671">
        <v>1072.82</v>
      </c>
      <c r="J671" t="s">
        <v>30</v>
      </c>
      <c r="K671">
        <v>0.03</v>
      </c>
      <c r="L671" t="s">
        <v>27</v>
      </c>
      <c r="M671" t="s">
        <v>22</v>
      </c>
      <c r="N671" t="s">
        <v>43</v>
      </c>
    </row>
    <row r="672" spans="2:14" x14ac:dyDescent="0.25">
      <c r="B672" s="1">
        <v>45258</v>
      </c>
      <c r="C672" t="s">
        <v>24</v>
      </c>
      <c r="D672" t="s">
        <v>21</v>
      </c>
      <c r="E672">
        <v>152.6</v>
      </c>
      <c r="F672">
        <v>43</v>
      </c>
      <c r="G672" t="s">
        <v>16</v>
      </c>
      <c r="H672">
        <v>1200.4000000000001</v>
      </c>
      <c r="I672">
        <v>1430.45</v>
      </c>
      <c r="J672" t="s">
        <v>30</v>
      </c>
      <c r="K672">
        <v>0.08</v>
      </c>
      <c r="L672" t="s">
        <v>27</v>
      </c>
      <c r="M672" t="s">
        <v>22</v>
      </c>
      <c r="N672" t="s">
        <v>47</v>
      </c>
    </row>
    <row r="673" spans="2:14" x14ac:dyDescent="0.25">
      <c r="B673" s="1">
        <v>45096</v>
      </c>
      <c r="C673" t="s">
        <v>38</v>
      </c>
      <c r="D673" t="s">
        <v>25</v>
      </c>
      <c r="E673">
        <v>8064.5</v>
      </c>
      <c r="F673">
        <v>27</v>
      </c>
      <c r="G673" t="s">
        <v>26</v>
      </c>
      <c r="H673">
        <v>3196.38</v>
      </c>
      <c r="I673">
        <v>3596.64</v>
      </c>
      <c r="J673" t="s">
        <v>30</v>
      </c>
      <c r="K673">
        <v>0.01</v>
      </c>
      <c r="L673" t="s">
        <v>18</v>
      </c>
      <c r="M673" t="s">
        <v>22</v>
      </c>
      <c r="N673" t="s">
        <v>39</v>
      </c>
    </row>
    <row r="674" spans="2:14" x14ac:dyDescent="0.25">
      <c r="B674" s="1">
        <v>44935</v>
      </c>
      <c r="C674" t="s">
        <v>33</v>
      </c>
      <c r="D674" t="s">
        <v>15</v>
      </c>
      <c r="E674">
        <v>7750.81</v>
      </c>
      <c r="F674">
        <v>41</v>
      </c>
      <c r="G674" t="s">
        <v>29</v>
      </c>
      <c r="H674">
        <v>4965.07</v>
      </c>
      <c r="I674">
        <v>5243.13</v>
      </c>
      <c r="J674" t="s">
        <v>30</v>
      </c>
      <c r="K674">
        <v>0.01</v>
      </c>
      <c r="L674" t="s">
        <v>31</v>
      </c>
      <c r="M674" t="s">
        <v>19</v>
      </c>
      <c r="N674" t="s">
        <v>53</v>
      </c>
    </row>
    <row r="675" spans="2:14" x14ac:dyDescent="0.25">
      <c r="B675" s="1">
        <v>44966</v>
      </c>
      <c r="C675" t="s">
        <v>42</v>
      </c>
      <c r="D675" t="s">
        <v>34</v>
      </c>
      <c r="E675">
        <v>5529.35</v>
      </c>
      <c r="F675">
        <v>16</v>
      </c>
      <c r="G675" t="s">
        <v>16</v>
      </c>
      <c r="H675">
        <v>3899.7</v>
      </c>
      <c r="I675">
        <v>4228.18</v>
      </c>
      <c r="J675" t="s">
        <v>30</v>
      </c>
      <c r="K675">
        <v>0.27</v>
      </c>
      <c r="L675" t="s">
        <v>18</v>
      </c>
      <c r="M675" t="s">
        <v>22</v>
      </c>
      <c r="N675" t="s">
        <v>52</v>
      </c>
    </row>
    <row r="676" spans="2:14" x14ac:dyDescent="0.25">
      <c r="B676" s="1">
        <v>44951</v>
      </c>
      <c r="C676" t="s">
        <v>24</v>
      </c>
      <c r="D676" t="s">
        <v>34</v>
      </c>
      <c r="E676">
        <v>757.99</v>
      </c>
      <c r="F676">
        <v>34</v>
      </c>
      <c r="G676" t="s">
        <v>29</v>
      </c>
      <c r="H676">
        <v>1167.9100000000001</v>
      </c>
      <c r="I676">
        <v>1547.26</v>
      </c>
      <c r="J676" t="s">
        <v>30</v>
      </c>
      <c r="K676">
        <v>0.11</v>
      </c>
      <c r="L676" t="s">
        <v>27</v>
      </c>
      <c r="M676" t="s">
        <v>19</v>
      </c>
      <c r="N676" t="s">
        <v>50</v>
      </c>
    </row>
    <row r="677" spans="2:14" x14ac:dyDescent="0.25">
      <c r="B677" s="1">
        <v>45187</v>
      </c>
      <c r="C677" t="s">
        <v>33</v>
      </c>
      <c r="D677" t="s">
        <v>25</v>
      </c>
      <c r="E677">
        <v>7688.5</v>
      </c>
      <c r="F677">
        <v>32</v>
      </c>
      <c r="G677" t="s">
        <v>26</v>
      </c>
      <c r="H677">
        <v>921.32</v>
      </c>
      <c r="I677">
        <v>1236.0999999999999</v>
      </c>
      <c r="J677" t="s">
        <v>30</v>
      </c>
      <c r="K677">
        <v>0.12</v>
      </c>
      <c r="L677" t="s">
        <v>31</v>
      </c>
      <c r="M677" t="s">
        <v>19</v>
      </c>
      <c r="N677" t="s">
        <v>44</v>
      </c>
    </row>
    <row r="678" spans="2:14" x14ac:dyDescent="0.25">
      <c r="B678" s="1">
        <v>45152</v>
      </c>
      <c r="C678" t="s">
        <v>14</v>
      </c>
      <c r="D678" t="s">
        <v>21</v>
      </c>
      <c r="E678">
        <v>5878.76</v>
      </c>
      <c r="F678">
        <v>26</v>
      </c>
      <c r="G678" t="s">
        <v>29</v>
      </c>
      <c r="H678">
        <v>4337.8500000000004</v>
      </c>
      <c r="I678">
        <v>4612.49</v>
      </c>
      <c r="J678" t="s">
        <v>17</v>
      </c>
      <c r="K678">
        <v>0.01</v>
      </c>
      <c r="L678" t="s">
        <v>18</v>
      </c>
      <c r="M678" t="s">
        <v>22</v>
      </c>
      <c r="N678" t="s">
        <v>23</v>
      </c>
    </row>
    <row r="679" spans="2:14" x14ac:dyDescent="0.25">
      <c r="B679" s="1">
        <v>45050</v>
      </c>
      <c r="C679" t="s">
        <v>14</v>
      </c>
      <c r="D679" t="s">
        <v>21</v>
      </c>
      <c r="E679">
        <v>7841.4</v>
      </c>
      <c r="F679">
        <v>25</v>
      </c>
      <c r="G679" t="s">
        <v>26</v>
      </c>
      <c r="H679">
        <v>2248.71</v>
      </c>
      <c r="I679">
        <v>2626.02</v>
      </c>
      <c r="J679" t="s">
        <v>30</v>
      </c>
      <c r="K679">
        <v>0.08</v>
      </c>
      <c r="L679" t="s">
        <v>27</v>
      </c>
      <c r="M679" t="s">
        <v>19</v>
      </c>
      <c r="N679" t="s">
        <v>23</v>
      </c>
    </row>
    <row r="680" spans="2:14" x14ac:dyDescent="0.25">
      <c r="B680" s="1">
        <v>44964</v>
      </c>
      <c r="C680" t="s">
        <v>33</v>
      </c>
      <c r="D680" t="s">
        <v>21</v>
      </c>
      <c r="E680">
        <v>7542.3</v>
      </c>
      <c r="F680">
        <v>2</v>
      </c>
      <c r="G680" t="s">
        <v>26</v>
      </c>
      <c r="H680">
        <v>728.41</v>
      </c>
      <c r="I680">
        <v>1094.92</v>
      </c>
      <c r="J680" t="s">
        <v>30</v>
      </c>
      <c r="K680">
        <v>0.24</v>
      </c>
      <c r="L680" t="s">
        <v>18</v>
      </c>
      <c r="M680" t="s">
        <v>22</v>
      </c>
      <c r="N680" t="s">
        <v>37</v>
      </c>
    </row>
    <row r="681" spans="2:14" x14ac:dyDescent="0.25">
      <c r="B681" s="1">
        <v>45254</v>
      </c>
      <c r="C681" t="s">
        <v>42</v>
      </c>
      <c r="D681" t="s">
        <v>21</v>
      </c>
      <c r="E681">
        <v>8049.72</v>
      </c>
      <c r="F681">
        <v>12</v>
      </c>
      <c r="G681" t="s">
        <v>26</v>
      </c>
      <c r="H681">
        <v>4317.95</v>
      </c>
      <c r="I681">
        <v>4636.59</v>
      </c>
      <c r="J681" t="s">
        <v>30</v>
      </c>
      <c r="K681">
        <v>0.18</v>
      </c>
      <c r="L681" t="s">
        <v>31</v>
      </c>
      <c r="M681" t="s">
        <v>22</v>
      </c>
      <c r="N681" t="s">
        <v>51</v>
      </c>
    </row>
    <row r="682" spans="2:14" x14ac:dyDescent="0.25">
      <c r="B682" s="1">
        <v>45177</v>
      </c>
      <c r="C682" t="s">
        <v>14</v>
      </c>
      <c r="D682" t="s">
        <v>21</v>
      </c>
      <c r="E682">
        <v>5228.28</v>
      </c>
      <c r="F682">
        <v>40</v>
      </c>
      <c r="G682" t="s">
        <v>16</v>
      </c>
      <c r="H682">
        <v>4089.66</v>
      </c>
      <c r="I682">
        <v>4275.96</v>
      </c>
      <c r="J682" t="s">
        <v>30</v>
      </c>
      <c r="K682">
        <v>0.23</v>
      </c>
      <c r="L682" t="s">
        <v>31</v>
      </c>
      <c r="M682" t="s">
        <v>19</v>
      </c>
      <c r="N682" t="s">
        <v>23</v>
      </c>
    </row>
    <row r="683" spans="2:14" x14ac:dyDescent="0.25">
      <c r="B683" s="1">
        <v>45102</v>
      </c>
      <c r="C683" t="s">
        <v>38</v>
      </c>
      <c r="D683" t="s">
        <v>25</v>
      </c>
      <c r="E683">
        <v>1489.21</v>
      </c>
      <c r="F683">
        <v>9</v>
      </c>
      <c r="G683" t="s">
        <v>29</v>
      </c>
      <c r="H683">
        <v>4920.34</v>
      </c>
      <c r="I683">
        <v>5129.1899999999996</v>
      </c>
      <c r="J683" t="s">
        <v>17</v>
      </c>
      <c r="K683">
        <v>0.13</v>
      </c>
      <c r="L683" t="s">
        <v>31</v>
      </c>
      <c r="M683" t="s">
        <v>19</v>
      </c>
      <c r="N683" t="s">
        <v>39</v>
      </c>
    </row>
    <row r="684" spans="2:14" x14ac:dyDescent="0.25">
      <c r="B684" s="1">
        <v>45016</v>
      </c>
      <c r="C684" t="s">
        <v>33</v>
      </c>
      <c r="D684" t="s">
        <v>34</v>
      </c>
      <c r="E684">
        <v>6744.46</v>
      </c>
      <c r="F684">
        <v>12</v>
      </c>
      <c r="G684" t="s">
        <v>29</v>
      </c>
      <c r="H684">
        <v>4553.2299999999996</v>
      </c>
      <c r="I684">
        <v>5038.74</v>
      </c>
      <c r="J684" t="s">
        <v>30</v>
      </c>
      <c r="K684">
        <v>0.09</v>
      </c>
      <c r="L684" t="s">
        <v>31</v>
      </c>
      <c r="M684" t="s">
        <v>22</v>
      </c>
      <c r="N684" t="s">
        <v>36</v>
      </c>
    </row>
    <row r="685" spans="2:14" x14ac:dyDescent="0.25">
      <c r="B685" s="1">
        <v>44963</v>
      </c>
      <c r="C685" t="s">
        <v>33</v>
      </c>
      <c r="D685" t="s">
        <v>34</v>
      </c>
      <c r="E685">
        <v>6242.69</v>
      </c>
      <c r="F685">
        <v>26</v>
      </c>
      <c r="G685" t="s">
        <v>35</v>
      </c>
      <c r="H685">
        <v>4266.3599999999997</v>
      </c>
      <c r="I685">
        <v>4331.4299999999903</v>
      </c>
      <c r="J685" t="s">
        <v>17</v>
      </c>
      <c r="K685">
        <v>0.14000000000000001</v>
      </c>
      <c r="L685" t="s">
        <v>31</v>
      </c>
      <c r="M685" t="s">
        <v>22</v>
      </c>
      <c r="N685" t="s">
        <v>36</v>
      </c>
    </row>
    <row r="686" spans="2:14" x14ac:dyDescent="0.25">
      <c r="B686" s="1">
        <v>45242</v>
      </c>
      <c r="C686" t="s">
        <v>14</v>
      </c>
      <c r="D686" t="s">
        <v>25</v>
      </c>
      <c r="E686">
        <v>7448.31</v>
      </c>
      <c r="F686">
        <v>9</v>
      </c>
      <c r="G686" t="s">
        <v>35</v>
      </c>
      <c r="H686">
        <v>310.24</v>
      </c>
      <c r="I686">
        <v>451.81</v>
      </c>
      <c r="J686" t="s">
        <v>17</v>
      </c>
      <c r="K686">
        <v>0.1</v>
      </c>
      <c r="L686" t="s">
        <v>18</v>
      </c>
      <c r="M686" t="s">
        <v>22</v>
      </c>
      <c r="N686" t="s">
        <v>32</v>
      </c>
    </row>
    <row r="687" spans="2:14" x14ac:dyDescent="0.25">
      <c r="B687" s="1">
        <v>45102</v>
      </c>
      <c r="C687" t="s">
        <v>42</v>
      </c>
      <c r="D687" t="s">
        <v>21</v>
      </c>
      <c r="E687">
        <v>1781.82</v>
      </c>
      <c r="F687">
        <v>10</v>
      </c>
      <c r="G687" t="s">
        <v>35</v>
      </c>
      <c r="H687">
        <v>566.86</v>
      </c>
      <c r="I687">
        <v>818.14</v>
      </c>
      <c r="J687" t="s">
        <v>17</v>
      </c>
      <c r="K687">
        <v>0.25</v>
      </c>
      <c r="L687" t="s">
        <v>31</v>
      </c>
      <c r="M687" t="s">
        <v>22</v>
      </c>
      <c r="N687" t="s">
        <v>51</v>
      </c>
    </row>
    <row r="688" spans="2:14" x14ac:dyDescent="0.25">
      <c r="B688" s="1">
        <v>45210</v>
      </c>
      <c r="C688" t="s">
        <v>38</v>
      </c>
      <c r="D688" t="s">
        <v>25</v>
      </c>
      <c r="E688">
        <v>2030.25</v>
      </c>
      <c r="F688">
        <v>32</v>
      </c>
      <c r="G688" t="s">
        <v>35</v>
      </c>
      <c r="H688">
        <v>2866.47</v>
      </c>
      <c r="I688">
        <v>3286.47</v>
      </c>
      <c r="J688" t="s">
        <v>30</v>
      </c>
      <c r="K688">
        <v>0.09</v>
      </c>
      <c r="L688" t="s">
        <v>31</v>
      </c>
      <c r="M688" t="s">
        <v>19</v>
      </c>
      <c r="N688" t="s">
        <v>39</v>
      </c>
    </row>
    <row r="689" spans="2:14" x14ac:dyDescent="0.25">
      <c r="B689" s="1">
        <v>45007</v>
      </c>
      <c r="C689" t="s">
        <v>42</v>
      </c>
      <c r="D689" t="s">
        <v>34</v>
      </c>
      <c r="E689">
        <v>8915.0499999999993</v>
      </c>
      <c r="F689">
        <v>34</v>
      </c>
      <c r="G689" t="s">
        <v>29</v>
      </c>
      <c r="H689">
        <v>2680.82</v>
      </c>
      <c r="I689">
        <v>2771.02</v>
      </c>
      <c r="J689" t="s">
        <v>30</v>
      </c>
      <c r="K689">
        <v>0.2</v>
      </c>
      <c r="L689" t="s">
        <v>27</v>
      </c>
      <c r="M689" t="s">
        <v>19</v>
      </c>
      <c r="N689" t="s">
        <v>52</v>
      </c>
    </row>
    <row r="690" spans="2:14" x14ac:dyDescent="0.25">
      <c r="B690" s="1">
        <v>45040</v>
      </c>
      <c r="C690" t="s">
        <v>24</v>
      </c>
      <c r="D690" t="s">
        <v>15</v>
      </c>
      <c r="E690">
        <v>7524.78</v>
      </c>
      <c r="F690">
        <v>48</v>
      </c>
      <c r="G690" t="s">
        <v>26</v>
      </c>
      <c r="H690">
        <v>2316.92</v>
      </c>
      <c r="I690">
        <v>2462.63</v>
      </c>
      <c r="J690" t="s">
        <v>30</v>
      </c>
      <c r="K690">
        <v>0.04</v>
      </c>
      <c r="L690" t="s">
        <v>31</v>
      </c>
      <c r="M690" t="s">
        <v>19</v>
      </c>
      <c r="N690" t="s">
        <v>45</v>
      </c>
    </row>
    <row r="691" spans="2:14" x14ac:dyDescent="0.25">
      <c r="B691" s="1">
        <v>44966</v>
      </c>
      <c r="C691" t="s">
        <v>24</v>
      </c>
      <c r="D691" t="s">
        <v>25</v>
      </c>
      <c r="E691">
        <v>9091.4599999999991</v>
      </c>
      <c r="F691">
        <v>20</v>
      </c>
      <c r="G691" t="s">
        <v>26</v>
      </c>
      <c r="H691">
        <v>2014.11</v>
      </c>
      <c r="I691">
        <v>2056.35</v>
      </c>
      <c r="J691" t="s">
        <v>17</v>
      </c>
      <c r="K691">
        <v>0.21</v>
      </c>
      <c r="L691" t="s">
        <v>27</v>
      </c>
      <c r="M691" t="s">
        <v>22</v>
      </c>
      <c r="N691" t="s">
        <v>28</v>
      </c>
    </row>
    <row r="692" spans="2:14" x14ac:dyDescent="0.25">
      <c r="B692" s="1">
        <v>45227</v>
      </c>
      <c r="C692" t="s">
        <v>14</v>
      </c>
      <c r="D692" t="s">
        <v>21</v>
      </c>
      <c r="E692">
        <v>7611.28</v>
      </c>
      <c r="F692">
        <v>39</v>
      </c>
      <c r="G692" t="s">
        <v>16</v>
      </c>
      <c r="H692">
        <v>2184.4899999999998</v>
      </c>
      <c r="I692">
        <v>2540.4199999999901</v>
      </c>
      <c r="J692" t="s">
        <v>17</v>
      </c>
      <c r="K692">
        <v>0.27</v>
      </c>
      <c r="L692" t="s">
        <v>27</v>
      </c>
      <c r="M692" t="s">
        <v>19</v>
      </c>
      <c r="N692" t="s">
        <v>23</v>
      </c>
    </row>
    <row r="693" spans="2:14" x14ac:dyDescent="0.25">
      <c r="B693" s="1">
        <v>45150</v>
      </c>
      <c r="C693" t="s">
        <v>14</v>
      </c>
      <c r="D693" t="s">
        <v>34</v>
      </c>
      <c r="E693">
        <v>6011.84</v>
      </c>
      <c r="F693">
        <v>2</v>
      </c>
      <c r="G693" t="s">
        <v>26</v>
      </c>
      <c r="H693">
        <v>2868.02</v>
      </c>
      <c r="I693">
        <v>2994.74</v>
      </c>
      <c r="J693" t="s">
        <v>17</v>
      </c>
      <c r="K693">
        <v>0.18</v>
      </c>
      <c r="L693" t="s">
        <v>27</v>
      </c>
      <c r="M693" t="s">
        <v>19</v>
      </c>
      <c r="N693" t="s">
        <v>46</v>
      </c>
    </row>
    <row r="694" spans="2:14" x14ac:dyDescent="0.25">
      <c r="B694" s="1">
        <v>45244</v>
      </c>
      <c r="C694" t="s">
        <v>14</v>
      </c>
      <c r="D694" t="s">
        <v>34</v>
      </c>
      <c r="E694">
        <v>6575.91</v>
      </c>
      <c r="F694">
        <v>1</v>
      </c>
      <c r="G694" t="s">
        <v>29</v>
      </c>
      <c r="H694">
        <v>60.28</v>
      </c>
      <c r="I694">
        <v>260.73</v>
      </c>
      <c r="J694" t="s">
        <v>17</v>
      </c>
      <c r="K694">
        <v>0.17</v>
      </c>
      <c r="L694" t="s">
        <v>18</v>
      </c>
      <c r="M694" t="s">
        <v>19</v>
      </c>
      <c r="N694" t="s">
        <v>46</v>
      </c>
    </row>
    <row r="695" spans="2:14" x14ac:dyDescent="0.25">
      <c r="B695" s="1">
        <v>45275</v>
      </c>
      <c r="C695" t="s">
        <v>24</v>
      </c>
      <c r="D695" t="s">
        <v>34</v>
      </c>
      <c r="E695">
        <v>8902.3700000000008</v>
      </c>
      <c r="F695">
        <v>36</v>
      </c>
      <c r="G695" t="s">
        <v>29</v>
      </c>
      <c r="H695">
        <v>1340.51</v>
      </c>
      <c r="I695">
        <v>1567.92</v>
      </c>
      <c r="J695" t="s">
        <v>30</v>
      </c>
      <c r="K695">
        <v>0.28999999999999998</v>
      </c>
      <c r="L695" t="s">
        <v>18</v>
      </c>
      <c r="M695" t="s">
        <v>19</v>
      </c>
      <c r="N695" t="s">
        <v>50</v>
      </c>
    </row>
    <row r="696" spans="2:14" x14ac:dyDescent="0.25">
      <c r="B696" s="1">
        <v>45041</v>
      </c>
      <c r="C696" t="s">
        <v>42</v>
      </c>
      <c r="D696" t="s">
        <v>34</v>
      </c>
      <c r="E696">
        <v>5830.19</v>
      </c>
      <c r="F696">
        <v>24</v>
      </c>
      <c r="G696" t="s">
        <v>29</v>
      </c>
      <c r="H696">
        <v>2615.48</v>
      </c>
      <c r="I696">
        <v>3062.22</v>
      </c>
      <c r="J696" t="s">
        <v>30</v>
      </c>
      <c r="K696">
        <v>0.19</v>
      </c>
      <c r="L696" t="s">
        <v>27</v>
      </c>
      <c r="M696" t="s">
        <v>22</v>
      </c>
      <c r="N696" t="s">
        <v>52</v>
      </c>
    </row>
    <row r="697" spans="2:14" x14ac:dyDescent="0.25">
      <c r="B697" s="1">
        <v>45112</v>
      </c>
      <c r="C697" t="s">
        <v>42</v>
      </c>
      <c r="D697" t="s">
        <v>21</v>
      </c>
      <c r="E697">
        <v>6360.67</v>
      </c>
      <c r="F697">
        <v>27</v>
      </c>
      <c r="G697" t="s">
        <v>16</v>
      </c>
      <c r="H697">
        <v>3624.97</v>
      </c>
      <c r="I697">
        <v>3836.52</v>
      </c>
      <c r="J697" t="s">
        <v>30</v>
      </c>
      <c r="K697">
        <v>0.08</v>
      </c>
      <c r="L697" t="s">
        <v>18</v>
      </c>
      <c r="M697" t="s">
        <v>19</v>
      </c>
      <c r="N697" t="s">
        <v>51</v>
      </c>
    </row>
    <row r="698" spans="2:14" x14ac:dyDescent="0.25">
      <c r="B698" s="1">
        <v>45249</v>
      </c>
      <c r="C698" t="s">
        <v>14</v>
      </c>
      <c r="D698" t="s">
        <v>15</v>
      </c>
      <c r="E698">
        <v>1649.12</v>
      </c>
      <c r="F698">
        <v>2</v>
      </c>
      <c r="G698" t="s">
        <v>35</v>
      </c>
      <c r="H698">
        <v>912.08</v>
      </c>
      <c r="I698">
        <v>993.24</v>
      </c>
      <c r="J698" t="s">
        <v>17</v>
      </c>
      <c r="K698">
        <v>0.09</v>
      </c>
      <c r="L698" t="s">
        <v>31</v>
      </c>
      <c r="M698" t="s">
        <v>19</v>
      </c>
      <c r="N698" t="s">
        <v>20</v>
      </c>
    </row>
    <row r="699" spans="2:14" x14ac:dyDescent="0.25">
      <c r="B699" s="1">
        <v>44982</v>
      </c>
      <c r="C699" t="s">
        <v>38</v>
      </c>
      <c r="D699" t="s">
        <v>34</v>
      </c>
      <c r="E699">
        <v>4791.82</v>
      </c>
      <c r="F699">
        <v>31</v>
      </c>
      <c r="G699" t="s">
        <v>26</v>
      </c>
      <c r="H699">
        <v>2757.06</v>
      </c>
      <c r="I699">
        <v>3023.97</v>
      </c>
      <c r="J699" t="s">
        <v>17</v>
      </c>
      <c r="K699">
        <v>0.21</v>
      </c>
      <c r="L699" t="s">
        <v>18</v>
      </c>
      <c r="M699" t="s">
        <v>19</v>
      </c>
      <c r="N699" t="s">
        <v>48</v>
      </c>
    </row>
    <row r="700" spans="2:14" x14ac:dyDescent="0.25">
      <c r="B700" s="1">
        <v>44966</v>
      </c>
      <c r="C700" t="s">
        <v>42</v>
      </c>
      <c r="D700" t="s">
        <v>25</v>
      </c>
      <c r="E700">
        <v>7192.33</v>
      </c>
      <c r="F700">
        <v>14</v>
      </c>
      <c r="G700" t="s">
        <v>29</v>
      </c>
      <c r="H700">
        <v>3586.58</v>
      </c>
      <c r="I700">
        <v>4068.43</v>
      </c>
      <c r="J700" t="s">
        <v>30</v>
      </c>
      <c r="K700">
        <v>0.22</v>
      </c>
      <c r="L700" t="s">
        <v>31</v>
      </c>
      <c r="M700" t="s">
        <v>19</v>
      </c>
      <c r="N700" t="s">
        <v>43</v>
      </c>
    </row>
    <row r="701" spans="2:14" x14ac:dyDescent="0.25">
      <c r="B701" s="1">
        <v>45280</v>
      </c>
      <c r="C701" t="s">
        <v>24</v>
      </c>
      <c r="D701" t="s">
        <v>15</v>
      </c>
      <c r="E701">
        <v>2782.33</v>
      </c>
      <c r="F701">
        <v>2</v>
      </c>
      <c r="G701" t="s">
        <v>29</v>
      </c>
      <c r="H701">
        <v>2250.91</v>
      </c>
      <c r="I701">
        <v>2558.6799999999998</v>
      </c>
      <c r="J701" t="s">
        <v>30</v>
      </c>
      <c r="K701">
        <v>0.09</v>
      </c>
      <c r="L701" t="s">
        <v>31</v>
      </c>
      <c r="M701" t="s">
        <v>22</v>
      </c>
      <c r="N701" t="s">
        <v>45</v>
      </c>
    </row>
    <row r="702" spans="2:14" x14ac:dyDescent="0.25">
      <c r="B702" s="1">
        <v>44966</v>
      </c>
      <c r="C702" t="s">
        <v>33</v>
      </c>
      <c r="D702" t="s">
        <v>34</v>
      </c>
      <c r="E702">
        <v>2102.3200000000002</v>
      </c>
      <c r="F702">
        <v>29</v>
      </c>
      <c r="G702" t="s">
        <v>35</v>
      </c>
      <c r="H702">
        <v>184.05</v>
      </c>
      <c r="I702">
        <v>675.91</v>
      </c>
      <c r="J702" t="s">
        <v>17</v>
      </c>
      <c r="K702">
        <v>0.1</v>
      </c>
      <c r="L702" t="s">
        <v>18</v>
      </c>
      <c r="M702" t="s">
        <v>22</v>
      </c>
      <c r="N702" t="s">
        <v>36</v>
      </c>
    </row>
    <row r="703" spans="2:14" x14ac:dyDescent="0.25">
      <c r="B703" s="1">
        <v>45273</v>
      </c>
      <c r="C703" t="s">
        <v>33</v>
      </c>
      <c r="D703" t="s">
        <v>15</v>
      </c>
      <c r="E703">
        <v>3206.89</v>
      </c>
      <c r="F703">
        <v>15</v>
      </c>
      <c r="G703" t="s">
        <v>29</v>
      </c>
      <c r="H703">
        <v>2273.88</v>
      </c>
      <c r="I703">
        <v>2696.02</v>
      </c>
      <c r="J703" t="s">
        <v>30</v>
      </c>
      <c r="K703">
        <v>0.3</v>
      </c>
      <c r="L703" t="s">
        <v>18</v>
      </c>
      <c r="M703" t="s">
        <v>19</v>
      </c>
      <c r="N703" t="s">
        <v>53</v>
      </c>
    </row>
    <row r="704" spans="2:14" x14ac:dyDescent="0.25">
      <c r="B704" s="1">
        <v>45163</v>
      </c>
      <c r="C704" t="s">
        <v>33</v>
      </c>
      <c r="D704" t="s">
        <v>25</v>
      </c>
      <c r="E704">
        <v>2490.86</v>
      </c>
      <c r="F704">
        <v>12</v>
      </c>
      <c r="G704" t="s">
        <v>26</v>
      </c>
      <c r="H704">
        <v>1517.4</v>
      </c>
      <c r="I704">
        <v>1545.02</v>
      </c>
      <c r="J704" t="s">
        <v>30</v>
      </c>
      <c r="K704">
        <v>0.03</v>
      </c>
      <c r="L704" t="s">
        <v>27</v>
      </c>
      <c r="M704" t="s">
        <v>22</v>
      </c>
      <c r="N704" t="s">
        <v>44</v>
      </c>
    </row>
    <row r="705" spans="2:14" x14ac:dyDescent="0.25">
      <c r="B705" s="1">
        <v>45215</v>
      </c>
      <c r="C705" t="s">
        <v>38</v>
      </c>
      <c r="D705" t="s">
        <v>34</v>
      </c>
      <c r="E705">
        <v>2227.64</v>
      </c>
      <c r="F705">
        <v>37</v>
      </c>
      <c r="G705" t="s">
        <v>16</v>
      </c>
      <c r="H705">
        <v>4651.7700000000004</v>
      </c>
      <c r="I705">
        <v>4984.3900000000003</v>
      </c>
      <c r="J705" t="s">
        <v>17</v>
      </c>
      <c r="K705">
        <v>0.12</v>
      </c>
      <c r="L705" t="s">
        <v>18</v>
      </c>
      <c r="M705" t="s">
        <v>22</v>
      </c>
      <c r="N705" t="s">
        <v>48</v>
      </c>
    </row>
    <row r="706" spans="2:14" x14ac:dyDescent="0.25">
      <c r="B706" s="1">
        <v>45188</v>
      </c>
      <c r="C706" t="s">
        <v>14</v>
      </c>
      <c r="D706" t="s">
        <v>25</v>
      </c>
      <c r="E706">
        <v>4306.0200000000004</v>
      </c>
      <c r="F706">
        <v>28</v>
      </c>
      <c r="G706" t="s">
        <v>29</v>
      </c>
      <c r="H706">
        <v>666.84</v>
      </c>
      <c r="I706">
        <v>817.36</v>
      </c>
      <c r="J706" t="s">
        <v>17</v>
      </c>
      <c r="K706">
        <v>0.02</v>
      </c>
      <c r="L706" t="s">
        <v>18</v>
      </c>
      <c r="M706" t="s">
        <v>22</v>
      </c>
      <c r="N706" t="s">
        <v>32</v>
      </c>
    </row>
    <row r="707" spans="2:14" x14ac:dyDescent="0.25">
      <c r="B707" s="1">
        <v>45142</v>
      </c>
      <c r="C707" t="s">
        <v>24</v>
      </c>
      <c r="D707" t="s">
        <v>21</v>
      </c>
      <c r="E707">
        <v>9087.6</v>
      </c>
      <c r="F707">
        <v>20</v>
      </c>
      <c r="G707" t="s">
        <v>26</v>
      </c>
      <c r="H707">
        <v>3279.76</v>
      </c>
      <c r="I707">
        <v>3563.97</v>
      </c>
      <c r="J707" t="s">
        <v>17</v>
      </c>
      <c r="K707">
        <v>0.25</v>
      </c>
      <c r="L707" t="s">
        <v>18</v>
      </c>
      <c r="M707" t="s">
        <v>22</v>
      </c>
      <c r="N707" t="s">
        <v>47</v>
      </c>
    </row>
    <row r="708" spans="2:14" x14ac:dyDescent="0.25">
      <c r="B708" s="1">
        <v>45073</v>
      </c>
      <c r="C708" t="s">
        <v>38</v>
      </c>
      <c r="D708" t="s">
        <v>34</v>
      </c>
      <c r="E708">
        <v>5119.8900000000003</v>
      </c>
      <c r="F708">
        <v>39</v>
      </c>
      <c r="G708" t="s">
        <v>29</v>
      </c>
      <c r="H708">
        <v>310.95999999999998</v>
      </c>
      <c r="I708">
        <v>457.84</v>
      </c>
      <c r="J708" t="s">
        <v>30</v>
      </c>
      <c r="K708">
        <v>0.03</v>
      </c>
      <c r="L708" t="s">
        <v>31</v>
      </c>
      <c r="M708" t="s">
        <v>19</v>
      </c>
      <c r="N708" t="s">
        <v>48</v>
      </c>
    </row>
    <row r="709" spans="2:14" x14ac:dyDescent="0.25">
      <c r="B709" s="1">
        <v>45262</v>
      </c>
      <c r="C709" t="s">
        <v>24</v>
      </c>
      <c r="D709" t="s">
        <v>34</v>
      </c>
      <c r="E709">
        <v>1960.41</v>
      </c>
      <c r="F709">
        <v>24</v>
      </c>
      <c r="G709" t="s">
        <v>35</v>
      </c>
      <c r="H709">
        <v>2258.54</v>
      </c>
      <c r="I709">
        <v>2439.4899999999998</v>
      </c>
      <c r="J709" t="s">
        <v>17</v>
      </c>
      <c r="K709">
        <v>0.2</v>
      </c>
      <c r="L709" t="s">
        <v>31</v>
      </c>
      <c r="M709" t="s">
        <v>22</v>
      </c>
      <c r="N709" t="s">
        <v>50</v>
      </c>
    </row>
    <row r="710" spans="2:14" x14ac:dyDescent="0.25">
      <c r="B710" s="1">
        <v>45094</v>
      </c>
      <c r="C710" t="s">
        <v>24</v>
      </c>
      <c r="D710" t="s">
        <v>34</v>
      </c>
      <c r="E710">
        <v>862.02</v>
      </c>
      <c r="F710">
        <v>21</v>
      </c>
      <c r="G710" t="s">
        <v>29</v>
      </c>
      <c r="H710">
        <v>2792.2</v>
      </c>
      <c r="I710">
        <v>3254.5499999999902</v>
      </c>
      <c r="J710" t="s">
        <v>30</v>
      </c>
      <c r="K710">
        <v>0.02</v>
      </c>
      <c r="L710" t="s">
        <v>31</v>
      </c>
      <c r="M710" t="s">
        <v>22</v>
      </c>
      <c r="N710" t="s">
        <v>50</v>
      </c>
    </row>
    <row r="711" spans="2:14" x14ac:dyDescent="0.25">
      <c r="B711" s="1">
        <v>45018</v>
      </c>
      <c r="C711" t="s">
        <v>14</v>
      </c>
      <c r="D711" t="s">
        <v>34</v>
      </c>
      <c r="E711">
        <v>6991.95</v>
      </c>
      <c r="F711">
        <v>10</v>
      </c>
      <c r="G711" t="s">
        <v>29</v>
      </c>
      <c r="H711">
        <v>1524.88</v>
      </c>
      <c r="I711">
        <v>1636.14</v>
      </c>
      <c r="J711" t="s">
        <v>30</v>
      </c>
      <c r="K711">
        <v>0.2</v>
      </c>
      <c r="L711" t="s">
        <v>27</v>
      </c>
      <c r="M711" t="s">
        <v>19</v>
      </c>
      <c r="N711" t="s">
        <v>46</v>
      </c>
    </row>
    <row r="712" spans="2:14" x14ac:dyDescent="0.25">
      <c r="B712" s="1">
        <v>45279</v>
      </c>
      <c r="C712" t="s">
        <v>33</v>
      </c>
      <c r="D712" t="s">
        <v>21</v>
      </c>
      <c r="E712">
        <v>3889.71</v>
      </c>
      <c r="F712">
        <v>46</v>
      </c>
      <c r="G712" t="s">
        <v>16</v>
      </c>
      <c r="H712">
        <v>2302.62</v>
      </c>
      <c r="I712">
        <v>2740.93</v>
      </c>
      <c r="J712" t="s">
        <v>17</v>
      </c>
      <c r="K712">
        <v>0.25</v>
      </c>
      <c r="L712" t="s">
        <v>27</v>
      </c>
      <c r="M712" t="s">
        <v>19</v>
      </c>
      <c r="N712" t="s">
        <v>37</v>
      </c>
    </row>
    <row r="713" spans="2:14" x14ac:dyDescent="0.25">
      <c r="B713" s="1">
        <v>44985</v>
      </c>
      <c r="C713" t="s">
        <v>14</v>
      </c>
      <c r="D713" t="s">
        <v>34</v>
      </c>
      <c r="E713">
        <v>8236.1299999999992</v>
      </c>
      <c r="F713">
        <v>14</v>
      </c>
      <c r="G713" t="s">
        <v>35</v>
      </c>
      <c r="H713">
        <v>859.59</v>
      </c>
      <c r="I713">
        <v>884.51</v>
      </c>
      <c r="J713" t="s">
        <v>30</v>
      </c>
      <c r="K713">
        <v>0.12</v>
      </c>
      <c r="L713" t="s">
        <v>27</v>
      </c>
      <c r="M713" t="s">
        <v>19</v>
      </c>
      <c r="N713" t="s">
        <v>46</v>
      </c>
    </row>
    <row r="714" spans="2:14" x14ac:dyDescent="0.25">
      <c r="B714" s="1">
        <v>44985</v>
      </c>
      <c r="C714" t="s">
        <v>38</v>
      </c>
      <c r="D714" t="s">
        <v>15</v>
      </c>
      <c r="E714">
        <v>6629.16</v>
      </c>
      <c r="F714">
        <v>37</v>
      </c>
      <c r="G714" t="s">
        <v>35</v>
      </c>
      <c r="H714">
        <v>1555.41</v>
      </c>
      <c r="I714">
        <v>1609.94</v>
      </c>
      <c r="J714" t="s">
        <v>17</v>
      </c>
      <c r="K714">
        <v>0.16</v>
      </c>
      <c r="L714" t="s">
        <v>31</v>
      </c>
      <c r="M714" t="s">
        <v>19</v>
      </c>
      <c r="N714" t="s">
        <v>40</v>
      </c>
    </row>
    <row r="715" spans="2:14" x14ac:dyDescent="0.25">
      <c r="B715" s="1">
        <v>45230</v>
      </c>
      <c r="C715" t="s">
        <v>38</v>
      </c>
      <c r="D715" t="s">
        <v>34</v>
      </c>
      <c r="E715">
        <v>7982.79</v>
      </c>
      <c r="F715">
        <v>18</v>
      </c>
      <c r="G715" t="s">
        <v>16</v>
      </c>
      <c r="H715">
        <v>3124.48</v>
      </c>
      <c r="I715">
        <v>3553.27</v>
      </c>
      <c r="J715" t="s">
        <v>17</v>
      </c>
      <c r="K715">
        <v>0.12</v>
      </c>
      <c r="L715" t="s">
        <v>18</v>
      </c>
      <c r="M715" t="s">
        <v>22</v>
      </c>
      <c r="N715" t="s">
        <v>48</v>
      </c>
    </row>
    <row r="716" spans="2:14" x14ac:dyDescent="0.25">
      <c r="B716" s="1">
        <v>45095</v>
      </c>
      <c r="C716" t="s">
        <v>38</v>
      </c>
      <c r="D716" t="s">
        <v>21</v>
      </c>
      <c r="E716">
        <v>2792.27</v>
      </c>
      <c r="F716">
        <v>24</v>
      </c>
      <c r="G716" t="s">
        <v>29</v>
      </c>
      <c r="H716">
        <v>1543.91</v>
      </c>
      <c r="I716">
        <v>1862.88</v>
      </c>
      <c r="J716" t="s">
        <v>30</v>
      </c>
      <c r="K716">
        <v>0.09</v>
      </c>
      <c r="L716" t="s">
        <v>27</v>
      </c>
      <c r="M716" t="s">
        <v>19</v>
      </c>
      <c r="N716" t="s">
        <v>41</v>
      </c>
    </row>
    <row r="717" spans="2:14" x14ac:dyDescent="0.25">
      <c r="B717" s="1">
        <v>45195</v>
      </c>
      <c r="C717" t="s">
        <v>14</v>
      </c>
      <c r="D717" t="s">
        <v>34</v>
      </c>
      <c r="E717">
        <v>6954.35</v>
      </c>
      <c r="F717">
        <v>14</v>
      </c>
      <c r="G717" t="s">
        <v>26</v>
      </c>
      <c r="H717">
        <v>4503.7299999999996</v>
      </c>
      <c r="I717">
        <v>4879.8799999999901</v>
      </c>
      <c r="J717" t="s">
        <v>30</v>
      </c>
      <c r="K717">
        <v>0.24</v>
      </c>
      <c r="L717" t="s">
        <v>27</v>
      </c>
      <c r="M717" t="s">
        <v>22</v>
      </c>
      <c r="N717" t="s">
        <v>46</v>
      </c>
    </row>
    <row r="718" spans="2:14" x14ac:dyDescent="0.25">
      <c r="B718" s="1">
        <v>45289</v>
      </c>
      <c r="C718" t="s">
        <v>24</v>
      </c>
      <c r="D718" t="s">
        <v>15</v>
      </c>
      <c r="E718">
        <v>2714.21</v>
      </c>
      <c r="F718">
        <v>34</v>
      </c>
      <c r="G718" t="s">
        <v>35</v>
      </c>
      <c r="H718">
        <v>3160.61</v>
      </c>
      <c r="I718">
        <v>3273.22</v>
      </c>
      <c r="J718" t="s">
        <v>17</v>
      </c>
      <c r="K718">
        <v>0.08</v>
      </c>
      <c r="L718" t="s">
        <v>31</v>
      </c>
      <c r="M718" t="s">
        <v>22</v>
      </c>
      <c r="N718" t="s">
        <v>45</v>
      </c>
    </row>
    <row r="719" spans="2:14" x14ac:dyDescent="0.25">
      <c r="B719" s="1">
        <v>44971</v>
      </c>
      <c r="C719" t="s">
        <v>24</v>
      </c>
      <c r="D719" t="s">
        <v>21</v>
      </c>
      <c r="E719">
        <v>9396.7800000000007</v>
      </c>
      <c r="F719">
        <v>12</v>
      </c>
      <c r="G719" t="s">
        <v>35</v>
      </c>
      <c r="H719">
        <v>2221.31</v>
      </c>
      <c r="I719">
        <v>2494.48</v>
      </c>
      <c r="J719" t="s">
        <v>17</v>
      </c>
      <c r="K719">
        <v>0.22</v>
      </c>
      <c r="L719" t="s">
        <v>27</v>
      </c>
      <c r="M719" t="s">
        <v>19</v>
      </c>
      <c r="N719" t="s">
        <v>47</v>
      </c>
    </row>
    <row r="720" spans="2:14" x14ac:dyDescent="0.25">
      <c r="B720" s="1">
        <v>45271</v>
      </c>
      <c r="C720" t="s">
        <v>42</v>
      </c>
      <c r="D720" t="s">
        <v>21</v>
      </c>
      <c r="E720">
        <v>6400.11</v>
      </c>
      <c r="F720">
        <v>22</v>
      </c>
      <c r="G720" t="s">
        <v>29</v>
      </c>
      <c r="H720">
        <v>241.85</v>
      </c>
      <c r="I720">
        <v>613.09</v>
      </c>
      <c r="J720" t="s">
        <v>17</v>
      </c>
      <c r="K720">
        <v>0.06</v>
      </c>
      <c r="L720" t="s">
        <v>18</v>
      </c>
      <c r="M720" t="s">
        <v>19</v>
      </c>
      <c r="N720" t="s">
        <v>51</v>
      </c>
    </row>
    <row r="721" spans="2:14" x14ac:dyDescent="0.25">
      <c r="B721" s="1">
        <v>45107</v>
      </c>
      <c r="C721" t="s">
        <v>38</v>
      </c>
      <c r="D721" t="s">
        <v>15</v>
      </c>
      <c r="E721">
        <v>3312.67</v>
      </c>
      <c r="F721">
        <v>6</v>
      </c>
      <c r="G721" t="s">
        <v>29</v>
      </c>
      <c r="H721">
        <v>2522.7600000000002</v>
      </c>
      <c r="I721">
        <v>2840.14</v>
      </c>
      <c r="J721" t="s">
        <v>17</v>
      </c>
      <c r="K721">
        <v>7.0000000000000007E-2</v>
      </c>
      <c r="L721" t="s">
        <v>31</v>
      </c>
      <c r="M721" t="s">
        <v>22</v>
      </c>
      <c r="N721" t="s">
        <v>40</v>
      </c>
    </row>
    <row r="722" spans="2:14" x14ac:dyDescent="0.25">
      <c r="B722" s="1">
        <v>45096</v>
      </c>
      <c r="C722" t="s">
        <v>24</v>
      </c>
      <c r="D722" t="s">
        <v>15</v>
      </c>
      <c r="E722">
        <v>2768.17</v>
      </c>
      <c r="F722">
        <v>36</v>
      </c>
      <c r="G722" t="s">
        <v>35</v>
      </c>
      <c r="H722">
        <v>3835.64</v>
      </c>
      <c r="I722">
        <v>4076.77</v>
      </c>
      <c r="J722" t="s">
        <v>17</v>
      </c>
      <c r="K722">
        <v>0.1</v>
      </c>
      <c r="L722" t="s">
        <v>31</v>
      </c>
      <c r="M722" t="s">
        <v>22</v>
      </c>
      <c r="N722" t="s">
        <v>45</v>
      </c>
    </row>
    <row r="723" spans="2:14" x14ac:dyDescent="0.25">
      <c r="B723" s="1">
        <v>45282</v>
      </c>
      <c r="C723" t="s">
        <v>42</v>
      </c>
      <c r="D723" t="s">
        <v>15</v>
      </c>
      <c r="E723">
        <v>1990.17</v>
      </c>
      <c r="F723">
        <v>45</v>
      </c>
      <c r="G723" t="s">
        <v>29</v>
      </c>
      <c r="H723">
        <v>1364.51</v>
      </c>
      <c r="I723">
        <v>1844.8</v>
      </c>
      <c r="J723" t="s">
        <v>17</v>
      </c>
      <c r="K723">
        <v>0.18</v>
      </c>
      <c r="L723" t="s">
        <v>18</v>
      </c>
      <c r="M723" t="s">
        <v>19</v>
      </c>
      <c r="N723" t="s">
        <v>49</v>
      </c>
    </row>
    <row r="724" spans="2:14" x14ac:dyDescent="0.25">
      <c r="B724" s="1">
        <v>45117</v>
      </c>
      <c r="C724" t="s">
        <v>24</v>
      </c>
      <c r="D724" t="s">
        <v>15</v>
      </c>
      <c r="E724">
        <v>6976.95</v>
      </c>
      <c r="F724">
        <v>36</v>
      </c>
      <c r="G724" t="s">
        <v>26</v>
      </c>
      <c r="H724">
        <v>4043.53</v>
      </c>
      <c r="I724">
        <v>4384.8500000000004</v>
      </c>
      <c r="J724" t="s">
        <v>30</v>
      </c>
      <c r="K724">
        <v>0.14000000000000001</v>
      </c>
      <c r="L724" t="s">
        <v>18</v>
      </c>
      <c r="M724" t="s">
        <v>19</v>
      </c>
      <c r="N724" t="s">
        <v>45</v>
      </c>
    </row>
    <row r="725" spans="2:14" x14ac:dyDescent="0.25">
      <c r="B725" s="1">
        <v>45081</v>
      </c>
      <c r="C725" t="s">
        <v>38</v>
      </c>
      <c r="D725" t="s">
        <v>15</v>
      </c>
      <c r="E725">
        <v>2265.2800000000002</v>
      </c>
      <c r="F725">
        <v>22</v>
      </c>
      <c r="G725" t="s">
        <v>35</v>
      </c>
      <c r="H725">
        <v>1296.44</v>
      </c>
      <c r="I725">
        <v>1751.24</v>
      </c>
      <c r="J725" t="s">
        <v>30</v>
      </c>
      <c r="K725">
        <v>0.22</v>
      </c>
      <c r="L725" t="s">
        <v>18</v>
      </c>
      <c r="M725" t="s">
        <v>19</v>
      </c>
      <c r="N725" t="s">
        <v>40</v>
      </c>
    </row>
    <row r="726" spans="2:14" x14ac:dyDescent="0.25">
      <c r="B726" s="1">
        <v>45114</v>
      </c>
      <c r="C726" t="s">
        <v>33</v>
      </c>
      <c r="D726" t="s">
        <v>21</v>
      </c>
      <c r="E726">
        <v>5993.5</v>
      </c>
      <c r="F726">
        <v>14</v>
      </c>
      <c r="G726" t="s">
        <v>26</v>
      </c>
      <c r="H726">
        <v>4127.54</v>
      </c>
      <c r="I726">
        <v>4495.13</v>
      </c>
      <c r="J726" t="s">
        <v>30</v>
      </c>
      <c r="K726">
        <v>0.06</v>
      </c>
      <c r="L726" t="s">
        <v>27</v>
      </c>
      <c r="M726" t="s">
        <v>22</v>
      </c>
      <c r="N726" t="s">
        <v>37</v>
      </c>
    </row>
    <row r="727" spans="2:14" x14ac:dyDescent="0.25">
      <c r="B727" s="1">
        <v>44933</v>
      </c>
      <c r="C727" t="s">
        <v>38</v>
      </c>
      <c r="D727" t="s">
        <v>21</v>
      </c>
      <c r="E727">
        <v>2719.89</v>
      </c>
      <c r="F727">
        <v>16</v>
      </c>
      <c r="G727" t="s">
        <v>26</v>
      </c>
      <c r="H727">
        <v>472.08</v>
      </c>
      <c r="I727">
        <v>842.46</v>
      </c>
      <c r="J727" t="s">
        <v>30</v>
      </c>
      <c r="K727">
        <v>0</v>
      </c>
      <c r="L727" t="s">
        <v>18</v>
      </c>
      <c r="M727" t="s">
        <v>22</v>
      </c>
      <c r="N727" t="s">
        <v>41</v>
      </c>
    </row>
    <row r="728" spans="2:14" x14ac:dyDescent="0.25">
      <c r="B728" s="1">
        <v>45059</v>
      </c>
      <c r="C728" t="s">
        <v>14</v>
      </c>
      <c r="D728" t="s">
        <v>34</v>
      </c>
      <c r="E728">
        <v>6653.49</v>
      </c>
      <c r="F728">
        <v>36</v>
      </c>
      <c r="G728" t="s">
        <v>29</v>
      </c>
      <c r="H728">
        <v>4337.6099999999997</v>
      </c>
      <c r="I728">
        <v>4386.82</v>
      </c>
      <c r="J728" t="s">
        <v>17</v>
      </c>
      <c r="K728">
        <v>0.23</v>
      </c>
      <c r="L728" t="s">
        <v>31</v>
      </c>
      <c r="M728" t="s">
        <v>19</v>
      </c>
      <c r="N728" t="s">
        <v>46</v>
      </c>
    </row>
    <row r="729" spans="2:14" x14ac:dyDescent="0.25">
      <c r="B729" s="1">
        <v>45161</v>
      </c>
      <c r="C729" t="s">
        <v>24</v>
      </c>
      <c r="D729" t="s">
        <v>34</v>
      </c>
      <c r="E729">
        <v>8167.9</v>
      </c>
      <c r="F729">
        <v>25</v>
      </c>
      <c r="G729" t="s">
        <v>26</v>
      </c>
      <c r="H729">
        <v>2520.9699999999998</v>
      </c>
      <c r="I729">
        <v>2707.1099999999901</v>
      </c>
      <c r="J729" t="s">
        <v>30</v>
      </c>
      <c r="K729">
        <v>0.25</v>
      </c>
      <c r="L729" t="s">
        <v>18</v>
      </c>
      <c r="M729" t="s">
        <v>22</v>
      </c>
      <c r="N729" t="s">
        <v>50</v>
      </c>
    </row>
    <row r="730" spans="2:14" x14ac:dyDescent="0.25">
      <c r="B730" s="1">
        <v>44971</v>
      </c>
      <c r="C730" t="s">
        <v>24</v>
      </c>
      <c r="D730" t="s">
        <v>25</v>
      </c>
      <c r="E730">
        <v>7802.45</v>
      </c>
      <c r="F730">
        <v>32</v>
      </c>
      <c r="G730" t="s">
        <v>29</v>
      </c>
      <c r="H730">
        <v>1517.86</v>
      </c>
      <c r="I730">
        <v>1948.46</v>
      </c>
      <c r="J730" t="s">
        <v>30</v>
      </c>
      <c r="K730">
        <v>0.02</v>
      </c>
      <c r="L730" t="s">
        <v>31</v>
      </c>
      <c r="M730" t="s">
        <v>19</v>
      </c>
      <c r="N730" t="s">
        <v>28</v>
      </c>
    </row>
    <row r="731" spans="2:14" x14ac:dyDescent="0.25">
      <c r="B731" s="1">
        <v>45240</v>
      </c>
      <c r="C731" t="s">
        <v>14</v>
      </c>
      <c r="D731" t="s">
        <v>34</v>
      </c>
      <c r="E731">
        <v>7632.43</v>
      </c>
      <c r="F731">
        <v>33</v>
      </c>
      <c r="G731" t="s">
        <v>16</v>
      </c>
      <c r="H731">
        <v>1362.31</v>
      </c>
      <c r="I731">
        <v>1486.29</v>
      </c>
      <c r="J731" t="s">
        <v>17</v>
      </c>
      <c r="K731">
        <v>0.18</v>
      </c>
      <c r="L731" t="s">
        <v>31</v>
      </c>
      <c r="M731" t="s">
        <v>22</v>
      </c>
      <c r="N731" t="s">
        <v>46</v>
      </c>
    </row>
    <row r="732" spans="2:14" x14ac:dyDescent="0.25">
      <c r="B732" s="1">
        <v>45175</v>
      </c>
      <c r="C732" t="s">
        <v>14</v>
      </c>
      <c r="D732" t="s">
        <v>34</v>
      </c>
      <c r="E732">
        <v>1958.45</v>
      </c>
      <c r="F732">
        <v>45</v>
      </c>
      <c r="G732" t="s">
        <v>29</v>
      </c>
      <c r="H732">
        <v>2188.4499999999998</v>
      </c>
      <c r="I732">
        <v>2255.0499999999902</v>
      </c>
      <c r="J732" t="s">
        <v>30</v>
      </c>
      <c r="K732">
        <v>0.11</v>
      </c>
      <c r="L732" t="s">
        <v>27</v>
      </c>
      <c r="M732" t="s">
        <v>22</v>
      </c>
      <c r="N732" t="s">
        <v>46</v>
      </c>
    </row>
    <row r="733" spans="2:14" x14ac:dyDescent="0.25">
      <c r="B733" s="1">
        <v>44957</v>
      </c>
      <c r="C733" t="s">
        <v>33</v>
      </c>
      <c r="D733" t="s">
        <v>15</v>
      </c>
      <c r="E733">
        <v>975.01</v>
      </c>
      <c r="F733">
        <v>36</v>
      </c>
      <c r="G733" t="s">
        <v>26</v>
      </c>
      <c r="H733">
        <v>4995.3</v>
      </c>
      <c r="I733">
        <v>5165.09</v>
      </c>
      <c r="J733" t="s">
        <v>17</v>
      </c>
      <c r="K733">
        <v>0.24</v>
      </c>
      <c r="L733" t="s">
        <v>18</v>
      </c>
      <c r="M733" t="s">
        <v>19</v>
      </c>
      <c r="N733" t="s">
        <v>53</v>
      </c>
    </row>
    <row r="734" spans="2:14" x14ac:dyDescent="0.25">
      <c r="B734" s="1">
        <v>44949</v>
      </c>
      <c r="C734" t="s">
        <v>24</v>
      </c>
      <c r="D734" t="s">
        <v>15</v>
      </c>
      <c r="E734">
        <v>7019.59</v>
      </c>
      <c r="F734">
        <v>20</v>
      </c>
      <c r="G734" t="s">
        <v>16</v>
      </c>
      <c r="H734">
        <v>1140.6199999999999</v>
      </c>
      <c r="I734">
        <v>1258.6299999999901</v>
      </c>
      <c r="J734" t="s">
        <v>17</v>
      </c>
      <c r="K734">
        <v>0.26</v>
      </c>
      <c r="L734" t="s">
        <v>27</v>
      </c>
      <c r="M734" t="s">
        <v>19</v>
      </c>
      <c r="N734" t="s">
        <v>45</v>
      </c>
    </row>
    <row r="735" spans="2:14" x14ac:dyDescent="0.25">
      <c r="B735" s="1">
        <v>45086</v>
      </c>
      <c r="C735" t="s">
        <v>24</v>
      </c>
      <c r="D735" t="s">
        <v>34</v>
      </c>
      <c r="E735">
        <v>3746.64</v>
      </c>
      <c r="F735">
        <v>18</v>
      </c>
      <c r="G735" t="s">
        <v>29</v>
      </c>
      <c r="H735">
        <v>560.91999999999996</v>
      </c>
      <c r="I735">
        <v>1024.31</v>
      </c>
      <c r="J735" t="s">
        <v>17</v>
      </c>
      <c r="K735">
        <v>0.26</v>
      </c>
      <c r="L735" t="s">
        <v>18</v>
      </c>
      <c r="M735" t="s">
        <v>19</v>
      </c>
      <c r="N735" t="s">
        <v>50</v>
      </c>
    </row>
    <row r="736" spans="2:14" x14ac:dyDescent="0.25">
      <c r="B736" s="1">
        <v>45289</v>
      </c>
      <c r="C736" t="s">
        <v>33</v>
      </c>
      <c r="D736" t="s">
        <v>25</v>
      </c>
      <c r="E736">
        <v>4380.2299999999996</v>
      </c>
      <c r="F736">
        <v>38</v>
      </c>
      <c r="G736" t="s">
        <v>26</v>
      </c>
      <c r="H736">
        <v>2945.92</v>
      </c>
      <c r="I736">
        <v>3381.22</v>
      </c>
      <c r="J736" t="s">
        <v>17</v>
      </c>
      <c r="K736">
        <v>0.23</v>
      </c>
      <c r="L736" t="s">
        <v>18</v>
      </c>
      <c r="M736" t="s">
        <v>22</v>
      </c>
      <c r="N736" t="s">
        <v>44</v>
      </c>
    </row>
    <row r="737" spans="2:14" x14ac:dyDescent="0.25">
      <c r="B737" s="1">
        <v>45084</v>
      </c>
      <c r="C737" t="s">
        <v>42</v>
      </c>
      <c r="D737" t="s">
        <v>15</v>
      </c>
      <c r="E737">
        <v>408.38</v>
      </c>
      <c r="F737">
        <v>3</v>
      </c>
      <c r="G737" t="s">
        <v>35</v>
      </c>
      <c r="H737">
        <v>2468.29</v>
      </c>
      <c r="I737">
        <v>2723.13</v>
      </c>
      <c r="J737" t="s">
        <v>17</v>
      </c>
      <c r="K737">
        <v>0.08</v>
      </c>
      <c r="L737" t="s">
        <v>18</v>
      </c>
      <c r="M737" t="s">
        <v>22</v>
      </c>
      <c r="N737" t="s">
        <v>49</v>
      </c>
    </row>
    <row r="738" spans="2:14" x14ac:dyDescent="0.25">
      <c r="B738" s="1">
        <v>44965</v>
      </c>
      <c r="C738" t="s">
        <v>33</v>
      </c>
      <c r="D738" t="s">
        <v>34</v>
      </c>
      <c r="E738">
        <v>2669.81</v>
      </c>
      <c r="F738">
        <v>23</v>
      </c>
      <c r="G738" t="s">
        <v>35</v>
      </c>
      <c r="H738">
        <v>2644.77</v>
      </c>
      <c r="I738">
        <v>2684.83</v>
      </c>
      <c r="J738" t="s">
        <v>30</v>
      </c>
      <c r="K738">
        <v>0.24</v>
      </c>
      <c r="L738" t="s">
        <v>18</v>
      </c>
      <c r="M738" t="s">
        <v>19</v>
      </c>
      <c r="N738" t="s">
        <v>36</v>
      </c>
    </row>
    <row r="739" spans="2:14" x14ac:dyDescent="0.25">
      <c r="B739" s="1">
        <v>45008</v>
      </c>
      <c r="C739" t="s">
        <v>38</v>
      </c>
      <c r="D739" t="s">
        <v>34</v>
      </c>
      <c r="E739">
        <v>433.4</v>
      </c>
      <c r="F739">
        <v>32</v>
      </c>
      <c r="G739" t="s">
        <v>29</v>
      </c>
      <c r="H739">
        <v>3351.33</v>
      </c>
      <c r="I739">
        <v>3711.47</v>
      </c>
      <c r="J739" t="s">
        <v>30</v>
      </c>
      <c r="K739">
        <v>0.16</v>
      </c>
      <c r="L739" t="s">
        <v>18</v>
      </c>
      <c r="M739" t="s">
        <v>22</v>
      </c>
      <c r="N739" t="s">
        <v>48</v>
      </c>
    </row>
    <row r="740" spans="2:14" x14ac:dyDescent="0.25">
      <c r="B740" s="1">
        <v>45282</v>
      </c>
      <c r="C740" t="s">
        <v>24</v>
      </c>
      <c r="D740" t="s">
        <v>21</v>
      </c>
      <c r="E740">
        <v>8803.94</v>
      </c>
      <c r="F740">
        <v>45</v>
      </c>
      <c r="G740" t="s">
        <v>29</v>
      </c>
      <c r="H740">
        <v>1372.36</v>
      </c>
      <c r="I740">
        <v>1687.83</v>
      </c>
      <c r="J740" t="s">
        <v>30</v>
      </c>
      <c r="K740">
        <v>0.02</v>
      </c>
      <c r="L740" t="s">
        <v>31</v>
      </c>
      <c r="M740" t="s">
        <v>19</v>
      </c>
      <c r="N740" t="s">
        <v>47</v>
      </c>
    </row>
    <row r="741" spans="2:14" x14ac:dyDescent="0.25">
      <c r="B741" s="1">
        <v>45184</v>
      </c>
      <c r="C741" t="s">
        <v>14</v>
      </c>
      <c r="D741" t="s">
        <v>25</v>
      </c>
      <c r="E741">
        <v>2509.63</v>
      </c>
      <c r="F741">
        <v>16</v>
      </c>
      <c r="G741" t="s">
        <v>35</v>
      </c>
      <c r="H741">
        <v>4557.79</v>
      </c>
      <c r="I741">
        <v>5043.3599999999997</v>
      </c>
      <c r="J741" t="s">
        <v>17</v>
      </c>
      <c r="K741">
        <v>0.14000000000000001</v>
      </c>
      <c r="L741" t="s">
        <v>31</v>
      </c>
      <c r="M741" t="s">
        <v>22</v>
      </c>
      <c r="N741" t="s">
        <v>32</v>
      </c>
    </row>
    <row r="742" spans="2:14" x14ac:dyDescent="0.25">
      <c r="B742" s="1">
        <v>45132</v>
      </c>
      <c r="C742" t="s">
        <v>38</v>
      </c>
      <c r="D742" t="s">
        <v>21</v>
      </c>
      <c r="E742">
        <v>5617.64</v>
      </c>
      <c r="F742">
        <v>5</v>
      </c>
      <c r="G742" t="s">
        <v>26</v>
      </c>
      <c r="H742">
        <v>2206.58</v>
      </c>
      <c r="I742">
        <v>2490.4699999999998</v>
      </c>
      <c r="J742" t="s">
        <v>30</v>
      </c>
      <c r="K742">
        <v>0.28000000000000003</v>
      </c>
      <c r="L742" t="s">
        <v>18</v>
      </c>
      <c r="M742" t="s">
        <v>19</v>
      </c>
      <c r="N742" t="s">
        <v>41</v>
      </c>
    </row>
    <row r="743" spans="2:14" x14ac:dyDescent="0.25">
      <c r="B743" s="1">
        <v>45003</v>
      </c>
      <c r="C743" t="s">
        <v>24</v>
      </c>
      <c r="D743" t="s">
        <v>25</v>
      </c>
      <c r="E743">
        <v>485.9</v>
      </c>
      <c r="F743">
        <v>4</v>
      </c>
      <c r="G743" t="s">
        <v>26</v>
      </c>
      <c r="H743">
        <v>688.98</v>
      </c>
      <c r="I743">
        <v>863.81</v>
      </c>
      <c r="J743" t="s">
        <v>30</v>
      </c>
      <c r="K743">
        <v>0.27</v>
      </c>
      <c r="L743" t="s">
        <v>31</v>
      </c>
      <c r="M743" t="s">
        <v>22</v>
      </c>
      <c r="N743" t="s">
        <v>28</v>
      </c>
    </row>
    <row r="744" spans="2:14" x14ac:dyDescent="0.25">
      <c r="B744" s="1">
        <v>44938</v>
      </c>
      <c r="C744" t="s">
        <v>33</v>
      </c>
      <c r="D744" t="s">
        <v>15</v>
      </c>
      <c r="E744">
        <v>6701.79</v>
      </c>
      <c r="F744">
        <v>21</v>
      </c>
      <c r="G744" t="s">
        <v>26</v>
      </c>
      <c r="H744">
        <v>3724.38</v>
      </c>
      <c r="I744">
        <v>3988.7</v>
      </c>
      <c r="J744" t="s">
        <v>30</v>
      </c>
      <c r="K744">
        <v>0.03</v>
      </c>
      <c r="L744" t="s">
        <v>27</v>
      </c>
      <c r="M744" t="s">
        <v>22</v>
      </c>
      <c r="N744" t="s">
        <v>53</v>
      </c>
    </row>
    <row r="745" spans="2:14" x14ac:dyDescent="0.25">
      <c r="B745" s="1">
        <v>45221</v>
      </c>
      <c r="C745" t="s">
        <v>38</v>
      </c>
      <c r="D745" t="s">
        <v>25</v>
      </c>
      <c r="E745">
        <v>3297.97</v>
      </c>
      <c r="F745">
        <v>40</v>
      </c>
      <c r="G745" t="s">
        <v>29</v>
      </c>
      <c r="H745">
        <v>3233.37</v>
      </c>
      <c r="I745">
        <v>3723.21</v>
      </c>
      <c r="J745" t="s">
        <v>30</v>
      </c>
      <c r="K745">
        <v>0.22</v>
      </c>
      <c r="L745" t="s">
        <v>27</v>
      </c>
      <c r="M745" t="s">
        <v>22</v>
      </c>
      <c r="N745" t="s">
        <v>39</v>
      </c>
    </row>
    <row r="746" spans="2:14" x14ac:dyDescent="0.25">
      <c r="B746" s="1">
        <v>45150</v>
      </c>
      <c r="C746" t="s">
        <v>24</v>
      </c>
      <c r="D746" t="s">
        <v>34</v>
      </c>
      <c r="E746">
        <v>8989.4</v>
      </c>
      <c r="F746">
        <v>14</v>
      </c>
      <c r="G746" t="s">
        <v>16</v>
      </c>
      <c r="H746">
        <v>1612.93</v>
      </c>
      <c r="I746">
        <v>1964.15</v>
      </c>
      <c r="J746" t="s">
        <v>17</v>
      </c>
      <c r="K746">
        <v>0.24</v>
      </c>
      <c r="L746" t="s">
        <v>27</v>
      </c>
      <c r="M746" t="s">
        <v>22</v>
      </c>
      <c r="N746" t="s">
        <v>50</v>
      </c>
    </row>
    <row r="747" spans="2:14" x14ac:dyDescent="0.25">
      <c r="B747" s="1">
        <v>44939</v>
      </c>
      <c r="C747" t="s">
        <v>42</v>
      </c>
      <c r="D747" t="s">
        <v>34</v>
      </c>
      <c r="E747">
        <v>8892.3700000000008</v>
      </c>
      <c r="F747">
        <v>39</v>
      </c>
      <c r="G747" t="s">
        <v>16</v>
      </c>
      <c r="H747">
        <v>3126.52</v>
      </c>
      <c r="I747">
        <v>3465.79</v>
      </c>
      <c r="J747" t="s">
        <v>30</v>
      </c>
      <c r="K747">
        <v>0.08</v>
      </c>
      <c r="L747" t="s">
        <v>18</v>
      </c>
      <c r="M747" t="s">
        <v>19</v>
      </c>
      <c r="N747" t="s">
        <v>52</v>
      </c>
    </row>
    <row r="748" spans="2:14" x14ac:dyDescent="0.25">
      <c r="B748" s="1">
        <v>44972</v>
      </c>
      <c r="C748" t="s">
        <v>42</v>
      </c>
      <c r="D748" t="s">
        <v>25</v>
      </c>
      <c r="E748">
        <v>3320.38</v>
      </c>
      <c r="F748">
        <v>31</v>
      </c>
      <c r="G748" t="s">
        <v>16</v>
      </c>
      <c r="H748">
        <v>1138.32</v>
      </c>
      <c r="I748">
        <v>1266.25</v>
      </c>
      <c r="J748" t="s">
        <v>17</v>
      </c>
      <c r="K748">
        <v>0.14000000000000001</v>
      </c>
      <c r="L748" t="s">
        <v>18</v>
      </c>
      <c r="M748" t="s">
        <v>22</v>
      </c>
      <c r="N748" t="s">
        <v>43</v>
      </c>
    </row>
    <row r="749" spans="2:14" x14ac:dyDescent="0.25">
      <c r="B749" s="1">
        <v>45081</v>
      </c>
      <c r="C749" t="s">
        <v>14</v>
      </c>
      <c r="D749" t="s">
        <v>25</v>
      </c>
      <c r="E749">
        <v>9019.51</v>
      </c>
      <c r="F749">
        <v>14</v>
      </c>
      <c r="G749" t="s">
        <v>16</v>
      </c>
      <c r="H749">
        <v>2251.9499999999998</v>
      </c>
      <c r="I749">
        <v>2626.3199999999902</v>
      </c>
      <c r="J749" t="s">
        <v>17</v>
      </c>
      <c r="K749">
        <v>0.21</v>
      </c>
      <c r="L749" t="s">
        <v>31</v>
      </c>
      <c r="M749" t="s">
        <v>19</v>
      </c>
      <c r="N749" t="s">
        <v>32</v>
      </c>
    </row>
    <row r="750" spans="2:14" x14ac:dyDescent="0.25">
      <c r="B750" s="1">
        <v>45039</v>
      </c>
      <c r="C750" t="s">
        <v>24</v>
      </c>
      <c r="D750" t="s">
        <v>25</v>
      </c>
      <c r="E750">
        <v>9961.9599999999991</v>
      </c>
      <c r="F750">
        <v>6</v>
      </c>
      <c r="G750" t="s">
        <v>16</v>
      </c>
      <c r="H750">
        <v>4502.09</v>
      </c>
      <c r="I750">
        <v>4879.72</v>
      </c>
      <c r="J750" t="s">
        <v>30</v>
      </c>
      <c r="K750">
        <v>0.13</v>
      </c>
      <c r="L750" t="s">
        <v>31</v>
      </c>
      <c r="M750" t="s">
        <v>19</v>
      </c>
      <c r="N750" t="s">
        <v>28</v>
      </c>
    </row>
    <row r="751" spans="2:14" x14ac:dyDescent="0.25">
      <c r="B751" s="1">
        <v>45159</v>
      </c>
      <c r="C751" t="s">
        <v>42</v>
      </c>
      <c r="D751" t="s">
        <v>21</v>
      </c>
      <c r="E751">
        <v>8271.6200000000008</v>
      </c>
      <c r="F751">
        <v>12</v>
      </c>
      <c r="G751" t="s">
        <v>29</v>
      </c>
      <c r="H751">
        <v>710.99</v>
      </c>
      <c r="I751">
        <v>876.46</v>
      </c>
      <c r="J751" t="s">
        <v>17</v>
      </c>
      <c r="K751">
        <v>0.03</v>
      </c>
      <c r="L751" t="s">
        <v>31</v>
      </c>
      <c r="M751" t="s">
        <v>19</v>
      </c>
      <c r="N751" t="s">
        <v>51</v>
      </c>
    </row>
    <row r="752" spans="2:14" x14ac:dyDescent="0.25">
      <c r="B752" s="1">
        <v>44943</v>
      </c>
      <c r="C752" t="s">
        <v>33</v>
      </c>
      <c r="D752" t="s">
        <v>25</v>
      </c>
      <c r="E752">
        <v>8464.23</v>
      </c>
      <c r="F752">
        <v>16</v>
      </c>
      <c r="G752" t="s">
        <v>29</v>
      </c>
      <c r="H752">
        <v>1964.15</v>
      </c>
      <c r="I752">
        <v>2211.17</v>
      </c>
      <c r="J752" t="s">
        <v>17</v>
      </c>
      <c r="K752">
        <v>0.21</v>
      </c>
      <c r="L752" t="s">
        <v>27</v>
      </c>
      <c r="M752" t="s">
        <v>19</v>
      </c>
      <c r="N752" t="s">
        <v>44</v>
      </c>
    </row>
    <row r="753" spans="2:14" x14ac:dyDescent="0.25">
      <c r="B753" s="1">
        <v>45286</v>
      </c>
      <c r="C753" t="s">
        <v>24</v>
      </c>
      <c r="D753" t="s">
        <v>15</v>
      </c>
      <c r="E753">
        <v>2565.19</v>
      </c>
      <c r="F753">
        <v>17</v>
      </c>
      <c r="G753" t="s">
        <v>16</v>
      </c>
      <c r="H753">
        <v>4114.66</v>
      </c>
      <c r="I753">
        <v>4269.0199999999904</v>
      </c>
      <c r="J753" t="s">
        <v>17</v>
      </c>
      <c r="K753">
        <v>0.27</v>
      </c>
      <c r="L753" t="s">
        <v>27</v>
      </c>
      <c r="M753" t="s">
        <v>22</v>
      </c>
      <c r="N753" t="s">
        <v>45</v>
      </c>
    </row>
    <row r="754" spans="2:14" x14ac:dyDescent="0.25">
      <c r="B754" s="1">
        <v>45149</v>
      </c>
      <c r="C754" t="s">
        <v>33</v>
      </c>
      <c r="D754" t="s">
        <v>21</v>
      </c>
      <c r="E754">
        <v>5809.35</v>
      </c>
      <c r="F754">
        <v>45</v>
      </c>
      <c r="G754" t="s">
        <v>29</v>
      </c>
      <c r="H754">
        <v>4848.9799999999996</v>
      </c>
      <c r="I754">
        <v>4985.75</v>
      </c>
      <c r="J754" t="s">
        <v>17</v>
      </c>
      <c r="K754">
        <v>0.2</v>
      </c>
      <c r="L754" t="s">
        <v>27</v>
      </c>
      <c r="M754" t="s">
        <v>19</v>
      </c>
      <c r="N754" t="s">
        <v>37</v>
      </c>
    </row>
    <row r="755" spans="2:14" x14ac:dyDescent="0.25">
      <c r="B755" s="1">
        <v>45280</v>
      </c>
      <c r="C755" t="s">
        <v>33</v>
      </c>
      <c r="D755" t="s">
        <v>21</v>
      </c>
      <c r="E755">
        <v>765.83</v>
      </c>
      <c r="F755">
        <v>23</v>
      </c>
      <c r="G755" t="s">
        <v>29</v>
      </c>
      <c r="H755">
        <v>2296.9299999999998</v>
      </c>
      <c r="I755">
        <v>2319.62</v>
      </c>
      <c r="J755" t="s">
        <v>17</v>
      </c>
      <c r="K755">
        <v>0.23</v>
      </c>
      <c r="L755" t="s">
        <v>27</v>
      </c>
      <c r="M755" t="s">
        <v>22</v>
      </c>
      <c r="N755" t="s">
        <v>37</v>
      </c>
    </row>
    <row r="756" spans="2:14" x14ac:dyDescent="0.25">
      <c r="B756" s="1">
        <v>45114</v>
      </c>
      <c r="C756" t="s">
        <v>42</v>
      </c>
      <c r="D756" t="s">
        <v>25</v>
      </c>
      <c r="E756">
        <v>1039.69</v>
      </c>
      <c r="F756">
        <v>14</v>
      </c>
      <c r="G756" t="s">
        <v>16</v>
      </c>
      <c r="H756">
        <v>2559.65</v>
      </c>
      <c r="I756">
        <v>2709.4</v>
      </c>
      <c r="J756" t="s">
        <v>17</v>
      </c>
      <c r="K756">
        <v>0.11</v>
      </c>
      <c r="L756" t="s">
        <v>31</v>
      </c>
      <c r="M756" t="s">
        <v>22</v>
      </c>
      <c r="N756" t="s">
        <v>43</v>
      </c>
    </row>
    <row r="757" spans="2:14" x14ac:dyDescent="0.25">
      <c r="B757" s="1">
        <v>45270</v>
      </c>
      <c r="C757" t="s">
        <v>24</v>
      </c>
      <c r="D757" t="s">
        <v>15</v>
      </c>
      <c r="E757">
        <v>9989.0400000000009</v>
      </c>
      <c r="F757">
        <v>7</v>
      </c>
      <c r="G757" t="s">
        <v>26</v>
      </c>
      <c r="H757">
        <v>2882.25</v>
      </c>
      <c r="I757">
        <v>3163.7</v>
      </c>
      <c r="J757" t="s">
        <v>17</v>
      </c>
      <c r="K757">
        <v>0.05</v>
      </c>
      <c r="L757" t="s">
        <v>18</v>
      </c>
      <c r="M757" t="s">
        <v>22</v>
      </c>
      <c r="N757" t="s">
        <v>45</v>
      </c>
    </row>
    <row r="758" spans="2:14" x14ac:dyDescent="0.25">
      <c r="B758" s="1">
        <v>45291</v>
      </c>
      <c r="C758" t="s">
        <v>38</v>
      </c>
      <c r="D758" t="s">
        <v>21</v>
      </c>
      <c r="E758">
        <v>3333.73</v>
      </c>
      <c r="F758">
        <v>46</v>
      </c>
      <c r="G758" t="s">
        <v>29</v>
      </c>
      <c r="H758">
        <v>4665.12</v>
      </c>
      <c r="I758">
        <v>4675.8999999999996</v>
      </c>
      <c r="J758" t="s">
        <v>30</v>
      </c>
      <c r="K758">
        <v>0.19</v>
      </c>
      <c r="L758" t="s">
        <v>18</v>
      </c>
      <c r="M758" t="s">
        <v>22</v>
      </c>
      <c r="N758" t="s">
        <v>41</v>
      </c>
    </row>
    <row r="759" spans="2:14" x14ac:dyDescent="0.25">
      <c r="B759" s="1">
        <v>45089</v>
      </c>
      <c r="C759" t="s">
        <v>42</v>
      </c>
      <c r="D759" t="s">
        <v>34</v>
      </c>
      <c r="E759">
        <v>7507.02</v>
      </c>
      <c r="F759">
        <v>32</v>
      </c>
      <c r="G759" t="s">
        <v>26</v>
      </c>
      <c r="H759">
        <v>4298.12</v>
      </c>
      <c r="I759">
        <v>4446.8999999999996</v>
      </c>
      <c r="J759" t="s">
        <v>30</v>
      </c>
      <c r="K759">
        <v>0.1</v>
      </c>
      <c r="L759" t="s">
        <v>27</v>
      </c>
      <c r="M759" t="s">
        <v>19</v>
      </c>
      <c r="N759" t="s">
        <v>52</v>
      </c>
    </row>
    <row r="760" spans="2:14" x14ac:dyDescent="0.25">
      <c r="B760" s="1">
        <v>45252</v>
      </c>
      <c r="C760" t="s">
        <v>42</v>
      </c>
      <c r="D760" t="s">
        <v>21</v>
      </c>
      <c r="E760">
        <v>8085.98</v>
      </c>
      <c r="F760">
        <v>15</v>
      </c>
      <c r="G760" t="s">
        <v>29</v>
      </c>
      <c r="H760">
        <v>894.48</v>
      </c>
      <c r="I760">
        <v>1336.37</v>
      </c>
      <c r="J760" t="s">
        <v>17</v>
      </c>
      <c r="K760">
        <v>0.26</v>
      </c>
      <c r="L760" t="s">
        <v>18</v>
      </c>
      <c r="M760" t="s">
        <v>22</v>
      </c>
      <c r="N760" t="s">
        <v>51</v>
      </c>
    </row>
    <row r="761" spans="2:14" x14ac:dyDescent="0.25">
      <c r="B761" s="1">
        <v>45000</v>
      </c>
      <c r="C761" t="s">
        <v>24</v>
      </c>
      <c r="D761" t="s">
        <v>25</v>
      </c>
      <c r="E761">
        <v>8594.43</v>
      </c>
      <c r="F761">
        <v>44</v>
      </c>
      <c r="G761" t="s">
        <v>29</v>
      </c>
      <c r="H761">
        <v>2211.9499999999998</v>
      </c>
      <c r="I761">
        <v>2512.8399999999901</v>
      </c>
      <c r="J761" t="s">
        <v>17</v>
      </c>
      <c r="K761">
        <v>0.04</v>
      </c>
      <c r="L761" t="s">
        <v>18</v>
      </c>
      <c r="M761" t="s">
        <v>19</v>
      </c>
      <c r="N761" t="s">
        <v>28</v>
      </c>
    </row>
    <row r="762" spans="2:14" x14ac:dyDescent="0.25">
      <c r="B762" s="1">
        <v>45159</v>
      </c>
      <c r="C762" t="s">
        <v>24</v>
      </c>
      <c r="D762" t="s">
        <v>15</v>
      </c>
      <c r="E762">
        <v>9976.52</v>
      </c>
      <c r="F762">
        <v>17</v>
      </c>
      <c r="G762" t="s">
        <v>16</v>
      </c>
      <c r="H762">
        <v>2346.8000000000002</v>
      </c>
      <c r="I762">
        <v>2654.65</v>
      </c>
      <c r="J762" t="s">
        <v>30</v>
      </c>
      <c r="K762">
        <v>0.13</v>
      </c>
      <c r="L762" t="s">
        <v>18</v>
      </c>
      <c r="M762" t="s">
        <v>22</v>
      </c>
      <c r="N762" t="s">
        <v>45</v>
      </c>
    </row>
    <row r="763" spans="2:14" x14ac:dyDescent="0.25">
      <c r="B763" s="1">
        <v>45150</v>
      </c>
      <c r="C763" t="s">
        <v>33</v>
      </c>
      <c r="D763" t="s">
        <v>25</v>
      </c>
      <c r="E763">
        <v>2490.8200000000002</v>
      </c>
      <c r="F763">
        <v>41</v>
      </c>
      <c r="G763" t="s">
        <v>29</v>
      </c>
      <c r="H763">
        <v>3956.03</v>
      </c>
      <c r="I763">
        <v>4163.68</v>
      </c>
      <c r="J763" t="s">
        <v>30</v>
      </c>
      <c r="K763">
        <v>0.12</v>
      </c>
      <c r="L763" t="s">
        <v>27</v>
      </c>
      <c r="M763" t="s">
        <v>22</v>
      </c>
      <c r="N763" t="s">
        <v>44</v>
      </c>
    </row>
    <row r="764" spans="2:14" x14ac:dyDescent="0.25">
      <c r="B764" s="1">
        <v>45245</v>
      </c>
      <c r="C764" t="s">
        <v>24</v>
      </c>
      <c r="D764" t="s">
        <v>34</v>
      </c>
      <c r="E764">
        <v>499.47</v>
      </c>
      <c r="F764">
        <v>47</v>
      </c>
      <c r="G764" t="s">
        <v>35</v>
      </c>
      <c r="H764">
        <v>3034.32</v>
      </c>
      <c r="I764">
        <v>3375.79</v>
      </c>
      <c r="J764" t="s">
        <v>30</v>
      </c>
      <c r="K764">
        <v>0.28000000000000003</v>
      </c>
      <c r="L764" t="s">
        <v>31</v>
      </c>
      <c r="M764" t="s">
        <v>19</v>
      </c>
      <c r="N764" t="s">
        <v>50</v>
      </c>
    </row>
    <row r="765" spans="2:14" x14ac:dyDescent="0.25">
      <c r="B765" s="1">
        <v>44986</v>
      </c>
      <c r="C765" t="s">
        <v>33</v>
      </c>
      <c r="D765" t="s">
        <v>34</v>
      </c>
      <c r="E765">
        <v>4170.8</v>
      </c>
      <c r="F765">
        <v>44</v>
      </c>
      <c r="G765" t="s">
        <v>35</v>
      </c>
      <c r="H765">
        <v>3288.39</v>
      </c>
      <c r="I765">
        <v>3391.46</v>
      </c>
      <c r="J765" t="s">
        <v>30</v>
      </c>
      <c r="K765">
        <v>0.05</v>
      </c>
      <c r="L765" t="s">
        <v>31</v>
      </c>
      <c r="M765" t="s">
        <v>22</v>
      </c>
      <c r="N765" t="s">
        <v>36</v>
      </c>
    </row>
    <row r="766" spans="2:14" x14ac:dyDescent="0.25">
      <c r="B766" s="1">
        <v>45261</v>
      </c>
      <c r="C766" t="s">
        <v>42</v>
      </c>
      <c r="D766" t="s">
        <v>34</v>
      </c>
      <c r="E766">
        <v>1387.8</v>
      </c>
      <c r="F766">
        <v>34</v>
      </c>
      <c r="G766" t="s">
        <v>16</v>
      </c>
      <c r="H766">
        <v>4991.09</v>
      </c>
      <c r="I766">
        <v>5402.28</v>
      </c>
      <c r="J766" t="s">
        <v>17</v>
      </c>
      <c r="K766">
        <v>0</v>
      </c>
      <c r="L766" t="s">
        <v>18</v>
      </c>
      <c r="M766" t="s">
        <v>22</v>
      </c>
      <c r="N766" t="s">
        <v>52</v>
      </c>
    </row>
    <row r="767" spans="2:14" x14ac:dyDescent="0.25">
      <c r="B767" s="1">
        <v>45148</v>
      </c>
      <c r="C767" t="s">
        <v>14</v>
      </c>
      <c r="D767" t="s">
        <v>25</v>
      </c>
      <c r="E767">
        <v>322.02</v>
      </c>
      <c r="F767">
        <v>5</v>
      </c>
      <c r="G767" t="s">
        <v>26</v>
      </c>
      <c r="H767">
        <v>421.05</v>
      </c>
      <c r="I767">
        <v>488.23</v>
      </c>
      <c r="J767" t="s">
        <v>17</v>
      </c>
      <c r="K767">
        <v>7.0000000000000007E-2</v>
      </c>
      <c r="L767" t="s">
        <v>31</v>
      </c>
      <c r="M767" t="s">
        <v>22</v>
      </c>
      <c r="N767" t="s">
        <v>32</v>
      </c>
    </row>
    <row r="768" spans="2:14" x14ac:dyDescent="0.25">
      <c r="B768" s="1">
        <v>44963</v>
      </c>
      <c r="C768" t="s">
        <v>38</v>
      </c>
      <c r="D768" t="s">
        <v>21</v>
      </c>
      <c r="E768">
        <v>3668.23</v>
      </c>
      <c r="F768">
        <v>45</v>
      </c>
      <c r="G768" t="s">
        <v>26</v>
      </c>
      <c r="H768">
        <v>1153.9000000000001</v>
      </c>
      <c r="I768">
        <v>1485.34</v>
      </c>
      <c r="J768" t="s">
        <v>30</v>
      </c>
      <c r="K768">
        <v>0.25</v>
      </c>
      <c r="L768" t="s">
        <v>31</v>
      </c>
      <c r="M768" t="s">
        <v>22</v>
      </c>
      <c r="N768" t="s">
        <v>41</v>
      </c>
    </row>
    <row r="769" spans="2:14" x14ac:dyDescent="0.25">
      <c r="B769" s="1">
        <v>45204</v>
      </c>
      <c r="C769" t="s">
        <v>42</v>
      </c>
      <c r="D769" t="s">
        <v>25</v>
      </c>
      <c r="E769">
        <v>7859.01</v>
      </c>
      <c r="F769">
        <v>27</v>
      </c>
      <c r="G769" t="s">
        <v>26</v>
      </c>
      <c r="H769">
        <v>2069.08</v>
      </c>
      <c r="I769">
        <v>2246.2399999999998</v>
      </c>
      <c r="J769" t="s">
        <v>30</v>
      </c>
      <c r="K769">
        <v>0.06</v>
      </c>
      <c r="L769" t="s">
        <v>27</v>
      </c>
      <c r="M769" t="s">
        <v>22</v>
      </c>
      <c r="N769" t="s">
        <v>43</v>
      </c>
    </row>
    <row r="770" spans="2:14" x14ac:dyDescent="0.25">
      <c r="B770" s="1">
        <v>45122</v>
      </c>
      <c r="C770" t="s">
        <v>24</v>
      </c>
      <c r="D770" t="s">
        <v>15</v>
      </c>
      <c r="E770">
        <v>5705.19</v>
      </c>
      <c r="F770">
        <v>23</v>
      </c>
      <c r="G770" t="s">
        <v>35</v>
      </c>
      <c r="H770">
        <v>1771.52</v>
      </c>
      <c r="I770">
        <v>2147.8000000000002</v>
      </c>
      <c r="J770" t="s">
        <v>30</v>
      </c>
      <c r="K770">
        <v>7.0000000000000007E-2</v>
      </c>
      <c r="L770" t="s">
        <v>27</v>
      </c>
      <c r="M770" t="s">
        <v>19</v>
      </c>
      <c r="N770" t="s">
        <v>45</v>
      </c>
    </row>
    <row r="771" spans="2:14" x14ac:dyDescent="0.25">
      <c r="B771" s="1">
        <v>45278</v>
      </c>
      <c r="C771" t="s">
        <v>38</v>
      </c>
      <c r="D771" t="s">
        <v>21</v>
      </c>
      <c r="E771">
        <v>3196.5</v>
      </c>
      <c r="F771">
        <v>40</v>
      </c>
      <c r="G771" t="s">
        <v>26</v>
      </c>
      <c r="H771">
        <v>157.15</v>
      </c>
      <c r="I771">
        <v>436.53</v>
      </c>
      <c r="J771" t="s">
        <v>30</v>
      </c>
      <c r="K771">
        <v>0.04</v>
      </c>
      <c r="L771" t="s">
        <v>18</v>
      </c>
      <c r="M771" t="s">
        <v>22</v>
      </c>
      <c r="N771" t="s">
        <v>41</v>
      </c>
    </row>
    <row r="772" spans="2:14" x14ac:dyDescent="0.25">
      <c r="B772" s="1">
        <v>45168</v>
      </c>
      <c r="C772" t="s">
        <v>14</v>
      </c>
      <c r="D772" t="s">
        <v>34</v>
      </c>
      <c r="E772">
        <v>6577.99</v>
      </c>
      <c r="F772">
        <v>14</v>
      </c>
      <c r="G772" t="s">
        <v>26</v>
      </c>
      <c r="H772">
        <v>504.3</v>
      </c>
      <c r="I772">
        <v>735.95</v>
      </c>
      <c r="J772" t="s">
        <v>17</v>
      </c>
      <c r="K772">
        <v>0.21</v>
      </c>
      <c r="L772" t="s">
        <v>18</v>
      </c>
      <c r="M772" t="s">
        <v>22</v>
      </c>
      <c r="N772" t="s">
        <v>46</v>
      </c>
    </row>
    <row r="773" spans="2:14" x14ac:dyDescent="0.25">
      <c r="B773" s="1">
        <v>45250</v>
      </c>
      <c r="C773" t="s">
        <v>14</v>
      </c>
      <c r="D773" t="s">
        <v>25</v>
      </c>
      <c r="E773">
        <v>2396.98</v>
      </c>
      <c r="F773">
        <v>15</v>
      </c>
      <c r="G773" t="s">
        <v>16</v>
      </c>
      <c r="H773">
        <v>3420.72</v>
      </c>
      <c r="I773">
        <v>3513.74</v>
      </c>
      <c r="J773" t="s">
        <v>30</v>
      </c>
      <c r="K773">
        <v>0.02</v>
      </c>
      <c r="L773" t="s">
        <v>18</v>
      </c>
      <c r="M773" t="s">
        <v>19</v>
      </c>
      <c r="N773" t="s">
        <v>32</v>
      </c>
    </row>
    <row r="774" spans="2:14" x14ac:dyDescent="0.25">
      <c r="B774" s="1">
        <v>45145</v>
      </c>
      <c r="C774" t="s">
        <v>33</v>
      </c>
      <c r="D774" t="s">
        <v>34</v>
      </c>
      <c r="E774">
        <v>242.38</v>
      </c>
      <c r="F774">
        <v>43</v>
      </c>
      <c r="G774" t="s">
        <v>26</v>
      </c>
      <c r="H774">
        <v>4402.66</v>
      </c>
      <c r="I774">
        <v>4724.7</v>
      </c>
      <c r="J774" t="s">
        <v>30</v>
      </c>
      <c r="K774">
        <v>0.1</v>
      </c>
      <c r="L774" t="s">
        <v>27</v>
      </c>
      <c r="M774" t="s">
        <v>22</v>
      </c>
      <c r="N774" t="s">
        <v>36</v>
      </c>
    </row>
    <row r="775" spans="2:14" x14ac:dyDescent="0.25">
      <c r="B775" s="1">
        <v>45118</v>
      </c>
      <c r="C775" t="s">
        <v>38</v>
      </c>
      <c r="D775" t="s">
        <v>34</v>
      </c>
      <c r="E775">
        <v>7667.1</v>
      </c>
      <c r="F775">
        <v>33</v>
      </c>
      <c r="G775" t="s">
        <v>35</v>
      </c>
      <c r="H775">
        <v>2595.42</v>
      </c>
      <c r="I775">
        <v>3083.06</v>
      </c>
      <c r="J775" t="s">
        <v>30</v>
      </c>
      <c r="K775">
        <v>0.08</v>
      </c>
      <c r="L775" t="s">
        <v>31</v>
      </c>
      <c r="M775" t="s">
        <v>19</v>
      </c>
      <c r="N775" t="s">
        <v>48</v>
      </c>
    </row>
    <row r="776" spans="2:14" x14ac:dyDescent="0.25">
      <c r="B776" s="1">
        <v>44943</v>
      </c>
      <c r="C776" t="s">
        <v>33</v>
      </c>
      <c r="D776" t="s">
        <v>15</v>
      </c>
      <c r="E776">
        <v>6275.06</v>
      </c>
      <c r="F776">
        <v>31</v>
      </c>
      <c r="G776" t="s">
        <v>35</v>
      </c>
      <c r="H776">
        <v>2719</v>
      </c>
      <c r="I776">
        <v>3133.55</v>
      </c>
      <c r="J776" t="s">
        <v>17</v>
      </c>
      <c r="K776">
        <v>0.17</v>
      </c>
      <c r="L776" t="s">
        <v>27</v>
      </c>
      <c r="M776" t="s">
        <v>22</v>
      </c>
      <c r="N776" t="s">
        <v>53</v>
      </c>
    </row>
    <row r="777" spans="2:14" x14ac:dyDescent="0.25">
      <c r="B777" s="1">
        <v>44938</v>
      </c>
      <c r="C777" t="s">
        <v>42</v>
      </c>
      <c r="D777" t="s">
        <v>21</v>
      </c>
      <c r="E777">
        <v>7646.8</v>
      </c>
      <c r="F777">
        <v>35</v>
      </c>
      <c r="G777" t="s">
        <v>35</v>
      </c>
      <c r="H777">
        <v>1312.71</v>
      </c>
      <c r="I777">
        <v>1352.11</v>
      </c>
      <c r="J777" t="s">
        <v>17</v>
      </c>
      <c r="K777">
        <v>0.22</v>
      </c>
      <c r="L777" t="s">
        <v>27</v>
      </c>
      <c r="M777" t="s">
        <v>22</v>
      </c>
      <c r="N777" t="s">
        <v>51</v>
      </c>
    </row>
    <row r="778" spans="2:14" x14ac:dyDescent="0.25">
      <c r="B778" s="1">
        <v>45119</v>
      </c>
      <c r="C778" t="s">
        <v>38</v>
      </c>
      <c r="D778" t="s">
        <v>15</v>
      </c>
      <c r="E778">
        <v>485.49</v>
      </c>
      <c r="F778">
        <v>17</v>
      </c>
      <c r="G778" t="s">
        <v>16</v>
      </c>
      <c r="H778">
        <v>3850.99</v>
      </c>
      <c r="I778">
        <v>4045.3399999999901</v>
      </c>
      <c r="J778" t="s">
        <v>17</v>
      </c>
      <c r="K778">
        <v>0.16</v>
      </c>
      <c r="L778" t="s">
        <v>31</v>
      </c>
      <c r="M778" t="s">
        <v>19</v>
      </c>
      <c r="N778" t="s">
        <v>40</v>
      </c>
    </row>
    <row r="779" spans="2:14" x14ac:dyDescent="0.25">
      <c r="B779" s="1">
        <v>44948</v>
      </c>
      <c r="C779" t="s">
        <v>42</v>
      </c>
      <c r="D779" t="s">
        <v>15</v>
      </c>
      <c r="E779">
        <v>8387.48</v>
      </c>
      <c r="F779">
        <v>28</v>
      </c>
      <c r="G779" t="s">
        <v>16</v>
      </c>
      <c r="H779">
        <v>3771.38</v>
      </c>
      <c r="I779">
        <v>4234.92</v>
      </c>
      <c r="J779" t="s">
        <v>30</v>
      </c>
      <c r="K779">
        <v>0.28000000000000003</v>
      </c>
      <c r="L779" t="s">
        <v>31</v>
      </c>
      <c r="M779" t="s">
        <v>22</v>
      </c>
      <c r="N779" t="s">
        <v>49</v>
      </c>
    </row>
    <row r="780" spans="2:14" x14ac:dyDescent="0.25">
      <c r="B780" s="1">
        <v>45046</v>
      </c>
      <c r="C780" t="s">
        <v>33</v>
      </c>
      <c r="D780" t="s">
        <v>15</v>
      </c>
      <c r="E780">
        <v>6233.31</v>
      </c>
      <c r="F780">
        <v>19</v>
      </c>
      <c r="G780" t="s">
        <v>29</v>
      </c>
      <c r="H780">
        <v>2962.41</v>
      </c>
      <c r="I780">
        <v>3218.8999999999901</v>
      </c>
      <c r="J780" t="s">
        <v>30</v>
      </c>
      <c r="K780">
        <v>0.28999999999999998</v>
      </c>
      <c r="L780" t="s">
        <v>18</v>
      </c>
      <c r="M780" t="s">
        <v>22</v>
      </c>
      <c r="N780" t="s">
        <v>53</v>
      </c>
    </row>
    <row r="781" spans="2:14" x14ac:dyDescent="0.25">
      <c r="B781" s="1">
        <v>45136</v>
      </c>
      <c r="C781" t="s">
        <v>38</v>
      </c>
      <c r="D781" t="s">
        <v>34</v>
      </c>
      <c r="E781">
        <v>5677.61</v>
      </c>
      <c r="F781">
        <v>46</v>
      </c>
      <c r="G781" t="s">
        <v>26</v>
      </c>
      <c r="H781">
        <v>1102.69</v>
      </c>
      <c r="I781">
        <v>1437.12</v>
      </c>
      <c r="J781" t="s">
        <v>30</v>
      </c>
      <c r="K781">
        <v>0.11</v>
      </c>
      <c r="L781" t="s">
        <v>31</v>
      </c>
      <c r="M781" t="s">
        <v>19</v>
      </c>
      <c r="N781" t="s">
        <v>48</v>
      </c>
    </row>
    <row r="782" spans="2:14" x14ac:dyDescent="0.25">
      <c r="B782" s="1">
        <v>45232</v>
      </c>
      <c r="C782" t="s">
        <v>33</v>
      </c>
      <c r="D782" t="s">
        <v>15</v>
      </c>
      <c r="E782">
        <v>6283.68</v>
      </c>
      <c r="F782">
        <v>23</v>
      </c>
      <c r="G782" t="s">
        <v>16</v>
      </c>
      <c r="H782">
        <v>530.24</v>
      </c>
      <c r="I782">
        <v>987.41</v>
      </c>
      <c r="J782" t="s">
        <v>17</v>
      </c>
      <c r="K782">
        <v>0.23</v>
      </c>
      <c r="L782" t="s">
        <v>31</v>
      </c>
      <c r="M782" t="s">
        <v>19</v>
      </c>
      <c r="N782" t="s">
        <v>53</v>
      </c>
    </row>
    <row r="783" spans="2:14" x14ac:dyDescent="0.25">
      <c r="B783" s="1">
        <v>45196</v>
      </c>
      <c r="C783" t="s">
        <v>38</v>
      </c>
      <c r="D783" t="s">
        <v>15</v>
      </c>
      <c r="E783">
        <v>8657.89</v>
      </c>
      <c r="F783">
        <v>32</v>
      </c>
      <c r="G783" t="s">
        <v>35</v>
      </c>
      <c r="H783">
        <v>367.98</v>
      </c>
      <c r="I783">
        <v>806.14</v>
      </c>
      <c r="J783" t="s">
        <v>17</v>
      </c>
      <c r="K783">
        <v>0.22</v>
      </c>
      <c r="L783" t="s">
        <v>31</v>
      </c>
      <c r="M783" t="s">
        <v>22</v>
      </c>
      <c r="N783" t="s">
        <v>40</v>
      </c>
    </row>
    <row r="784" spans="2:14" x14ac:dyDescent="0.25">
      <c r="B784" s="1">
        <v>45118</v>
      </c>
      <c r="C784" t="s">
        <v>33</v>
      </c>
      <c r="D784" t="s">
        <v>21</v>
      </c>
      <c r="E784">
        <v>5910.67</v>
      </c>
      <c r="F784">
        <v>40</v>
      </c>
      <c r="G784" t="s">
        <v>35</v>
      </c>
      <c r="H784">
        <v>2983.85</v>
      </c>
      <c r="I784">
        <v>3239.74</v>
      </c>
      <c r="J784" t="s">
        <v>30</v>
      </c>
      <c r="K784">
        <v>0.27</v>
      </c>
      <c r="L784" t="s">
        <v>31</v>
      </c>
      <c r="M784" t="s">
        <v>19</v>
      </c>
      <c r="N784" t="s">
        <v>37</v>
      </c>
    </row>
    <row r="785" spans="2:14" x14ac:dyDescent="0.25">
      <c r="B785" s="1">
        <v>45101</v>
      </c>
      <c r="C785" t="s">
        <v>14</v>
      </c>
      <c r="D785" t="s">
        <v>21</v>
      </c>
      <c r="E785">
        <v>5851.41</v>
      </c>
      <c r="F785">
        <v>13</v>
      </c>
      <c r="G785" t="s">
        <v>16</v>
      </c>
      <c r="H785">
        <v>4133.92</v>
      </c>
      <c r="I785">
        <v>4358.37</v>
      </c>
      <c r="J785" t="s">
        <v>30</v>
      </c>
      <c r="K785">
        <v>0.13</v>
      </c>
      <c r="L785" t="s">
        <v>18</v>
      </c>
      <c r="M785" t="s">
        <v>22</v>
      </c>
      <c r="N785" t="s">
        <v>23</v>
      </c>
    </row>
    <row r="786" spans="2:14" x14ac:dyDescent="0.25">
      <c r="B786" s="1">
        <v>45211</v>
      </c>
      <c r="C786" t="s">
        <v>33</v>
      </c>
      <c r="D786" t="s">
        <v>15</v>
      </c>
      <c r="E786">
        <v>9907.7199999999993</v>
      </c>
      <c r="F786">
        <v>20</v>
      </c>
      <c r="G786" t="s">
        <v>16</v>
      </c>
      <c r="H786">
        <v>4298.74</v>
      </c>
      <c r="I786">
        <v>4475.1899999999996</v>
      </c>
      <c r="J786" t="s">
        <v>17</v>
      </c>
      <c r="K786">
        <v>0.16</v>
      </c>
      <c r="L786" t="s">
        <v>18</v>
      </c>
      <c r="M786" t="s">
        <v>19</v>
      </c>
      <c r="N786" t="s">
        <v>53</v>
      </c>
    </row>
    <row r="787" spans="2:14" x14ac:dyDescent="0.25">
      <c r="B787" s="1">
        <v>45130</v>
      </c>
      <c r="C787" t="s">
        <v>14</v>
      </c>
      <c r="D787" t="s">
        <v>21</v>
      </c>
      <c r="E787">
        <v>7591.63</v>
      </c>
      <c r="F787">
        <v>35</v>
      </c>
      <c r="G787" t="s">
        <v>16</v>
      </c>
      <c r="H787">
        <v>2344.9299999999998</v>
      </c>
      <c r="I787">
        <v>2707.25</v>
      </c>
      <c r="J787" t="s">
        <v>30</v>
      </c>
      <c r="K787">
        <v>0.12</v>
      </c>
      <c r="L787" t="s">
        <v>31</v>
      </c>
      <c r="M787" t="s">
        <v>22</v>
      </c>
      <c r="N787" t="s">
        <v>23</v>
      </c>
    </row>
    <row r="788" spans="2:14" x14ac:dyDescent="0.25">
      <c r="B788" s="1">
        <v>45090</v>
      </c>
      <c r="C788" t="s">
        <v>33</v>
      </c>
      <c r="D788" t="s">
        <v>21</v>
      </c>
      <c r="E788">
        <v>4478.71</v>
      </c>
      <c r="F788">
        <v>5</v>
      </c>
      <c r="G788" t="s">
        <v>29</v>
      </c>
      <c r="H788">
        <v>3932.14</v>
      </c>
      <c r="I788">
        <v>4082.7599999999902</v>
      </c>
      <c r="J788" t="s">
        <v>30</v>
      </c>
      <c r="K788">
        <v>0.26</v>
      </c>
      <c r="L788" t="s">
        <v>31</v>
      </c>
      <c r="M788" t="s">
        <v>19</v>
      </c>
      <c r="N788" t="s">
        <v>37</v>
      </c>
    </row>
    <row r="789" spans="2:14" x14ac:dyDescent="0.25">
      <c r="B789" s="1">
        <v>45177</v>
      </c>
      <c r="C789" t="s">
        <v>38</v>
      </c>
      <c r="D789" t="s">
        <v>15</v>
      </c>
      <c r="E789">
        <v>7103.23</v>
      </c>
      <c r="F789">
        <v>9</v>
      </c>
      <c r="G789" t="s">
        <v>35</v>
      </c>
      <c r="H789">
        <v>4737.0600000000004</v>
      </c>
      <c r="I789">
        <v>4869.5</v>
      </c>
      <c r="J789" t="s">
        <v>30</v>
      </c>
      <c r="K789">
        <v>7.0000000000000007E-2</v>
      </c>
      <c r="L789" t="s">
        <v>18</v>
      </c>
      <c r="M789" t="s">
        <v>19</v>
      </c>
      <c r="N789" t="s">
        <v>40</v>
      </c>
    </row>
    <row r="790" spans="2:14" x14ac:dyDescent="0.25">
      <c r="B790" s="1">
        <v>45153</v>
      </c>
      <c r="C790" t="s">
        <v>38</v>
      </c>
      <c r="D790" t="s">
        <v>34</v>
      </c>
      <c r="E790">
        <v>3953.38</v>
      </c>
      <c r="F790">
        <v>29</v>
      </c>
      <c r="G790" t="s">
        <v>29</v>
      </c>
      <c r="H790">
        <v>1412.09</v>
      </c>
      <c r="I790">
        <v>1596.6499999999901</v>
      </c>
      <c r="J790" t="s">
        <v>17</v>
      </c>
      <c r="K790">
        <v>7.0000000000000007E-2</v>
      </c>
      <c r="L790" t="s">
        <v>18</v>
      </c>
      <c r="M790" t="s">
        <v>19</v>
      </c>
      <c r="N790" t="s">
        <v>48</v>
      </c>
    </row>
    <row r="791" spans="2:14" x14ac:dyDescent="0.25">
      <c r="B791" s="1">
        <v>44933</v>
      </c>
      <c r="C791" t="s">
        <v>38</v>
      </c>
      <c r="D791" t="s">
        <v>15</v>
      </c>
      <c r="E791">
        <v>2365.87</v>
      </c>
      <c r="F791">
        <v>6</v>
      </c>
      <c r="G791" t="s">
        <v>29</v>
      </c>
      <c r="H791">
        <v>2019.9</v>
      </c>
      <c r="I791">
        <v>2116.7399999999998</v>
      </c>
      <c r="J791" t="s">
        <v>30</v>
      </c>
      <c r="K791">
        <v>0.11</v>
      </c>
      <c r="L791" t="s">
        <v>31</v>
      </c>
      <c r="M791" t="s">
        <v>19</v>
      </c>
      <c r="N791" t="s">
        <v>40</v>
      </c>
    </row>
    <row r="792" spans="2:14" x14ac:dyDescent="0.25">
      <c r="B792" s="1">
        <v>44955</v>
      </c>
      <c r="C792" t="s">
        <v>24</v>
      </c>
      <c r="D792" t="s">
        <v>21</v>
      </c>
      <c r="E792">
        <v>6008.83</v>
      </c>
      <c r="F792">
        <v>25</v>
      </c>
      <c r="G792" t="s">
        <v>26</v>
      </c>
      <c r="H792">
        <v>4660.82</v>
      </c>
      <c r="I792">
        <v>5011.4299999999903</v>
      </c>
      <c r="J792" t="s">
        <v>30</v>
      </c>
      <c r="K792">
        <v>7.0000000000000007E-2</v>
      </c>
      <c r="L792" t="s">
        <v>27</v>
      </c>
      <c r="M792" t="s">
        <v>19</v>
      </c>
      <c r="N792" t="s">
        <v>47</v>
      </c>
    </row>
    <row r="793" spans="2:14" x14ac:dyDescent="0.25">
      <c r="B793" s="1">
        <v>44959</v>
      </c>
      <c r="C793" t="s">
        <v>42</v>
      </c>
      <c r="D793" t="s">
        <v>34</v>
      </c>
      <c r="E793">
        <v>9289</v>
      </c>
      <c r="F793">
        <v>31</v>
      </c>
      <c r="G793" t="s">
        <v>35</v>
      </c>
      <c r="H793">
        <v>1724.24</v>
      </c>
      <c r="I793">
        <v>2036.2</v>
      </c>
      <c r="J793" t="s">
        <v>30</v>
      </c>
      <c r="K793">
        <v>0.17</v>
      </c>
      <c r="L793" t="s">
        <v>18</v>
      </c>
      <c r="M793" t="s">
        <v>19</v>
      </c>
      <c r="N793" t="s">
        <v>52</v>
      </c>
    </row>
    <row r="794" spans="2:14" x14ac:dyDescent="0.25">
      <c r="B794" s="1">
        <v>45060</v>
      </c>
      <c r="C794" t="s">
        <v>38</v>
      </c>
      <c r="D794" t="s">
        <v>25</v>
      </c>
      <c r="E794">
        <v>9298.48</v>
      </c>
      <c r="F794">
        <v>22</v>
      </c>
      <c r="G794" t="s">
        <v>35</v>
      </c>
      <c r="H794">
        <v>4573.6899999999996</v>
      </c>
      <c r="I794">
        <v>4820.2999999999902</v>
      </c>
      <c r="J794" t="s">
        <v>30</v>
      </c>
      <c r="K794">
        <v>0.04</v>
      </c>
      <c r="L794" t="s">
        <v>18</v>
      </c>
      <c r="M794" t="s">
        <v>19</v>
      </c>
      <c r="N794" t="s">
        <v>39</v>
      </c>
    </row>
    <row r="795" spans="2:14" x14ac:dyDescent="0.25">
      <c r="B795" s="1">
        <v>45005</v>
      </c>
      <c r="C795" t="s">
        <v>14</v>
      </c>
      <c r="D795" t="s">
        <v>34</v>
      </c>
      <c r="E795">
        <v>3484.86</v>
      </c>
      <c r="F795">
        <v>2</v>
      </c>
      <c r="G795" t="s">
        <v>16</v>
      </c>
      <c r="H795">
        <v>4906.17</v>
      </c>
      <c r="I795">
        <v>5107.43</v>
      </c>
      <c r="J795" t="s">
        <v>17</v>
      </c>
      <c r="K795">
        <v>0.1</v>
      </c>
      <c r="L795" t="s">
        <v>18</v>
      </c>
      <c r="M795" t="s">
        <v>19</v>
      </c>
      <c r="N795" t="s">
        <v>46</v>
      </c>
    </row>
    <row r="796" spans="2:14" x14ac:dyDescent="0.25">
      <c r="B796" s="1">
        <v>44984</v>
      </c>
      <c r="C796" t="s">
        <v>38</v>
      </c>
      <c r="D796" t="s">
        <v>21</v>
      </c>
      <c r="E796">
        <v>5324.01</v>
      </c>
      <c r="F796">
        <v>45</v>
      </c>
      <c r="G796" t="s">
        <v>16</v>
      </c>
      <c r="H796">
        <v>3325.96</v>
      </c>
      <c r="I796">
        <v>3781.4</v>
      </c>
      <c r="J796" t="s">
        <v>17</v>
      </c>
      <c r="K796">
        <v>0.27</v>
      </c>
      <c r="L796" t="s">
        <v>31</v>
      </c>
      <c r="M796" t="s">
        <v>19</v>
      </c>
      <c r="N796" t="s">
        <v>41</v>
      </c>
    </row>
    <row r="797" spans="2:14" x14ac:dyDescent="0.25">
      <c r="B797" s="1">
        <v>44952</v>
      </c>
      <c r="C797" t="s">
        <v>24</v>
      </c>
      <c r="D797" t="s">
        <v>34</v>
      </c>
      <c r="E797">
        <v>2195.1999999999998</v>
      </c>
      <c r="F797">
        <v>5</v>
      </c>
      <c r="G797" t="s">
        <v>26</v>
      </c>
      <c r="H797">
        <v>4093.61</v>
      </c>
      <c r="I797">
        <v>4117.88</v>
      </c>
      <c r="J797" t="s">
        <v>17</v>
      </c>
      <c r="K797">
        <v>0.12</v>
      </c>
      <c r="L797" t="s">
        <v>31</v>
      </c>
      <c r="M797" t="s">
        <v>22</v>
      </c>
      <c r="N797" t="s">
        <v>50</v>
      </c>
    </row>
    <row r="798" spans="2:14" x14ac:dyDescent="0.25">
      <c r="B798" s="1">
        <v>45152</v>
      </c>
      <c r="C798" t="s">
        <v>14</v>
      </c>
      <c r="D798" t="s">
        <v>15</v>
      </c>
      <c r="E798">
        <v>9956.75</v>
      </c>
      <c r="F798">
        <v>27</v>
      </c>
      <c r="G798" t="s">
        <v>29</v>
      </c>
      <c r="H798">
        <v>3760.25</v>
      </c>
      <c r="I798">
        <v>4147.1099999999997</v>
      </c>
      <c r="J798" t="s">
        <v>30</v>
      </c>
      <c r="K798">
        <v>0.22</v>
      </c>
      <c r="L798" t="s">
        <v>18</v>
      </c>
      <c r="M798" t="s">
        <v>19</v>
      </c>
      <c r="N798" t="s">
        <v>20</v>
      </c>
    </row>
    <row r="799" spans="2:14" x14ac:dyDescent="0.25">
      <c r="B799" s="1">
        <v>45211</v>
      </c>
      <c r="C799" t="s">
        <v>24</v>
      </c>
      <c r="D799" t="s">
        <v>25</v>
      </c>
      <c r="E799">
        <v>9813.07</v>
      </c>
      <c r="F799">
        <v>25</v>
      </c>
      <c r="G799" t="s">
        <v>16</v>
      </c>
      <c r="H799">
        <v>3512.69</v>
      </c>
      <c r="I799">
        <v>3964.63</v>
      </c>
      <c r="J799" t="s">
        <v>17</v>
      </c>
      <c r="K799">
        <v>0.03</v>
      </c>
      <c r="L799" t="s">
        <v>31</v>
      </c>
      <c r="M799" t="s">
        <v>22</v>
      </c>
      <c r="N799" t="s">
        <v>28</v>
      </c>
    </row>
    <row r="800" spans="2:14" x14ac:dyDescent="0.25">
      <c r="B800" s="1">
        <v>44930</v>
      </c>
      <c r="C800" t="s">
        <v>14</v>
      </c>
      <c r="D800" t="s">
        <v>25</v>
      </c>
      <c r="E800">
        <v>6530.14</v>
      </c>
      <c r="F800">
        <v>8</v>
      </c>
      <c r="G800" t="s">
        <v>16</v>
      </c>
      <c r="H800">
        <v>1569.31</v>
      </c>
      <c r="I800">
        <v>1798.02</v>
      </c>
      <c r="J800" t="s">
        <v>30</v>
      </c>
      <c r="K800">
        <v>7.0000000000000007E-2</v>
      </c>
      <c r="L800" t="s">
        <v>31</v>
      </c>
      <c r="M800" t="s">
        <v>19</v>
      </c>
      <c r="N800" t="s">
        <v>32</v>
      </c>
    </row>
    <row r="801" spans="2:14" x14ac:dyDescent="0.25">
      <c r="B801" s="1">
        <v>45025</v>
      </c>
      <c r="C801" t="s">
        <v>33</v>
      </c>
      <c r="D801" t="s">
        <v>25</v>
      </c>
      <c r="E801">
        <v>8063.7</v>
      </c>
      <c r="F801">
        <v>1</v>
      </c>
      <c r="G801" t="s">
        <v>35</v>
      </c>
      <c r="H801">
        <v>332.62</v>
      </c>
      <c r="I801">
        <v>612.46</v>
      </c>
      <c r="J801" t="s">
        <v>17</v>
      </c>
      <c r="K801">
        <v>0.24</v>
      </c>
      <c r="L801" t="s">
        <v>18</v>
      </c>
      <c r="M801" t="s">
        <v>22</v>
      </c>
      <c r="N801" t="s">
        <v>44</v>
      </c>
    </row>
    <row r="802" spans="2:14" x14ac:dyDescent="0.25">
      <c r="B802" s="1">
        <v>44965</v>
      </c>
      <c r="C802" t="s">
        <v>42</v>
      </c>
      <c r="D802" t="s">
        <v>21</v>
      </c>
      <c r="E802">
        <v>7179.49</v>
      </c>
      <c r="F802">
        <v>20</v>
      </c>
      <c r="G802" t="s">
        <v>35</v>
      </c>
      <c r="H802">
        <v>1748.11</v>
      </c>
      <c r="I802">
        <v>2220.9</v>
      </c>
      <c r="J802" t="s">
        <v>30</v>
      </c>
      <c r="K802">
        <v>0.23</v>
      </c>
      <c r="L802" t="s">
        <v>31</v>
      </c>
      <c r="M802" t="s">
        <v>22</v>
      </c>
      <c r="N802" t="s">
        <v>51</v>
      </c>
    </row>
    <row r="803" spans="2:14" x14ac:dyDescent="0.25">
      <c r="B803" s="1">
        <v>45197</v>
      </c>
      <c r="C803" t="s">
        <v>42</v>
      </c>
      <c r="D803" t="s">
        <v>21</v>
      </c>
      <c r="E803">
        <v>5972.27</v>
      </c>
      <c r="F803">
        <v>44</v>
      </c>
      <c r="G803" t="s">
        <v>16</v>
      </c>
      <c r="H803">
        <v>3351.33</v>
      </c>
      <c r="I803">
        <v>3465.35</v>
      </c>
      <c r="J803" t="s">
        <v>17</v>
      </c>
      <c r="K803">
        <v>0.12</v>
      </c>
      <c r="L803" t="s">
        <v>27</v>
      </c>
      <c r="M803" t="s">
        <v>19</v>
      </c>
      <c r="N803" t="s">
        <v>51</v>
      </c>
    </row>
    <row r="804" spans="2:14" x14ac:dyDescent="0.25">
      <c r="B804" s="1">
        <v>45211</v>
      </c>
      <c r="C804" t="s">
        <v>24</v>
      </c>
      <c r="D804" t="s">
        <v>25</v>
      </c>
      <c r="E804">
        <v>628.15</v>
      </c>
      <c r="F804">
        <v>23</v>
      </c>
      <c r="G804" t="s">
        <v>35</v>
      </c>
      <c r="H804">
        <v>557.52</v>
      </c>
      <c r="I804">
        <v>822.39</v>
      </c>
      <c r="J804" t="s">
        <v>17</v>
      </c>
      <c r="K804">
        <v>0.28999999999999998</v>
      </c>
      <c r="L804" t="s">
        <v>31</v>
      </c>
      <c r="M804" t="s">
        <v>19</v>
      </c>
      <c r="N804" t="s">
        <v>28</v>
      </c>
    </row>
    <row r="805" spans="2:14" x14ac:dyDescent="0.25">
      <c r="B805" s="1">
        <v>45083</v>
      </c>
      <c r="C805" t="s">
        <v>42</v>
      </c>
      <c r="D805" t="s">
        <v>34</v>
      </c>
      <c r="E805">
        <v>4602.17</v>
      </c>
      <c r="F805">
        <v>32</v>
      </c>
      <c r="G805" t="s">
        <v>26</v>
      </c>
      <c r="H805">
        <v>108.99</v>
      </c>
      <c r="I805">
        <v>351.6</v>
      </c>
      <c r="J805" t="s">
        <v>17</v>
      </c>
      <c r="K805">
        <v>0.27</v>
      </c>
      <c r="L805" t="s">
        <v>31</v>
      </c>
      <c r="M805" t="s">
        <v>22</v>
      </c>
      <c r="N805" t="s">
        <v>52</v>
      </c>
    </row>
    <row r="806" spans="2:14" x14ac:dyDescent="0.25">
      <c r="B806" s="1">
        <v>45001</v>
      </c>
      <c r="C806" t="s">
        <v>24</v>
      </c>
      <c r="D806" t="s">
        <v>25</v>
      </c>
      <c r="E806">
        <v>6780.38</v>
      </c>
      <c r="F806">
        <v>11</v>
      </c>
      <c r="G806" t="s">
        <v>16</v>
      </c>
      <c r="H806">
        <v>741.48</v>
      </c>
      <c r="I806">
        <v>878.09</v>
      </c>
      <c r="J806" t="s">
        <v>30</v>
      </c>
      <c r="K806">
        <v>0.28999999999999998</v>
      </c>
      <c r="L806" t="s">
        <v>18</v>
      </c>
      <c r="M806" t="s">
        <v>22</v>
      </c>
      <c r="N806" t="s">
        <v>28</v>
      </c>
    </row>
    <row r="807" spans="2:14" x14ac:dyDescent="0.25">
      <c r="B807" s="1">
        <v>45214</v>
      </c>
      <c r="C807" t="s">
        <v>24</v>
      </c>
      <c r="D807" t="s">
        <v>34</v>
      </c>
      <c r="E807">
        <v>6807.56</v>
      </c>
      <c r="F807">
        <v>39</v>
      </c>
      <c r="G807" t="s">
        <v>35</v>
      </c>
      <c r="H807">
        <v>3592.89</v>
      </c>
      <c r="I807">
        <v>4004</v>
      </c>
      <c r="J807" t="s">
        <v>30</v>
      </c>
      <c r="K807">
        <v>0.13</v>
      </c>
      <c r="L807" t="s">
        <v>18</v>
      </c>
      <c r="M807" t="s">
        <v>19</v>
      </c>
      <c r="N807" t="s">
        <v>50</v>
      </c>
    </row>
    <row r="808" spans="2:14" x14ac:dyDescent="0.25">
      <c r="B808" s="1">
        <v>45056</v>
      </c>
      <c r="C808" t="s">
        <v>24</v>
      </c>
      <c r="D808" t="s">
        <v>34</v>
      </c>
      <c r="E808">
        <v>3793.91</v>
      </c>
      <c r="F808">
        <v>47</v>
      </c>
      <c r="G808" t="s">
        <v>26</v>
      </c>
      <c r="H808">
        <v>4865.33</v>
      </c>
      <c r="I808">
        <v>5316.13</v>
      </c>
      <c r="J808" t="s">
        <v>30</v>
      </c>
      <c r="K808">
        <v>0.06</v>
      </c>
      <c r="L808" t="s">
        <v>27</v>
      </c>
      <c r="M808" t="s">
        <v>19</v>
      </c>
      <c r="N808" t="s">
        <v>50</v>
      </c>
    </row>
    <row r="809" spans="2:14" x14ac:dyDescent="0.25">
      <c r="B809" s="1">
        <v>45101</v>
      </c>
      <c r="C809" t="s">
        <v>42</v>
      </c>
      <c r="D809" t="s">
        <v>21</v>
      </c>
      <c r="E809">
        <v>9422.75</v>
      </c>
      <c r="F809">
        <v>24</v>
      </c>
      <c r="G809" t="s">
        <v>35</v>
      </c>
      <c r="H809">
        <v>4916.17</v>
      </c>
      <c r="I809">
        <v>5309.32</v>
      </c>
      <c r="J809" t="s">
        <v>17</v>
      </c>
      <c r="K809">
        <v>0.19</v>
      </c>
      <c r="L809" t="s">
        <v>31</v>
      </c>
      <c r="M809" t="s">
        <v>19</v>
      </c>
      <c r="N809" t="s">
        <v>51</v>
      </c>
    </row>
    <row r="810" spans="2:14" x14ac:dyDescent="0.25">
      <c r="B810" s="1">
        <v>45010</v>
      </c>
      <c r="C810" t="s">
        <v>24</v>
      </c>
      <c r="D810" t="s">
        <v>34</v>
      </c>
      <c r="E810">
        <v>1756.83</v>
      </c>
      <c r="F810">
        <v>11</v>
      </c>
      <c r="G810" t="s">
        <v>35</v>
      </c>
      <c r="H810">
        <v>2495.1999999999998</v>
      </c>
      <c r="I810">
        <v>2600.9299999999998</v>
      </c>
      <c r="J810" t="s">
        <v>30</v>
      </c>
      <c r="K810">
        <v>0.21</v>
      </c>
      <c r="L810" t="s">
        <v>27</v>
      </c>
      <c r="M810" t="s">
        <v>22</v>
      </c>
      <c r="N810" t="s">
        <v>50</v>
      </c>
    </row>
    <row r="811" spans="2:14" x14ac:dyDescent="0.25">
      <c r="B811" s="1">
        <v>44948</v>
      </c>
      <c r="C811" t="s">
        <v>42</v>
      </c>
      <c r="D811" t="s">
        <v>25</v>
      </c>
      <c r="E811">
        <v>5053.5600000000004</v>
      </c>
      <c r="F811">
        <v>29</v>
      </c>
      <c r="G811" t="s">
        <v>35</v>
      </c>
      <c r="H811">
        <v>4353.29</v>
      </c>
      <c r="I811">
        <v>4405.8</v>
      </c>
      <c r="J811" t="s">
        <v>30</v>
      </c>
      <c r="K811">
        <v>0.04</v>
      </c>
      <c r="L811" t="s">
        <v>27</v>
      </c>
      <c r="M811" t="s">
        <v>19</v>
      </c>
      <c r="N811" t="s">
        <v>43</v>
      </c>
    </row>
    <row r="812" spans="2:14" x14ac:dyDescent="0.25">
      <c r="B812" s="1">
        <v>44953</v>
      </c>
      <c r="C812" t="s">
        <v>24</v>
      </c>
      <c r="D812" t="s">
        <v>21</v>
      </c>
      <c r="E812">
        <v>6939.75</v>
      </c>
      <c r="F812">
        <v>26</v>
      </c>
      <c r="G812" t="s">
        <v>16</v>
      </c>
      <c r="H812">
        <v>3697.29</v>
      </c>
      <c r="I812">
        <v>4003.96</v>
      </c>
      <c r="J812" t="s">
        <v>30</v>
      </c>
      <c r="K812">
        <v>0.24</v>
      </c>
      <c r="L812" t="s">
        <v>18</v>
      </c>
      <c r="M812" t="s">
        <v>19</v>
      </c>
      <c r="N812" t="s">
        <v>47</v>
      </c>
    </row>
    <row r="813" spans="2:14" x14ac:dyDescent="0.25">
      <c r="B813" s="1">
        <v>45121</v>
      </c>
      <c r="C813" t="s">
        <v>38</v>
      </c>
      <c r="D813" t="s">
        <v>15</v>
      </c>
      <c r="E813">
        <v>7001.64</v>
      </c>
      <c r="F813">
        <v>16</v>
      </c>
      <c r="G813" t="s">
        <v>29</v>
      </c>
      <c r="H813">
        <v>2530.15</v>
      </c>
      <c r="I813">
        <v>2568.13</v>
      </c>
      <c r="J813" t="s">
        <v>30</v>
      </c>
      <c r="K813">
        <v>0.01</v>
      </c>
      <c r="L813" t="s">
        <v>31</v>
      </c>
      <c r="M813" t="s">
        <v>19</v>
      </c>
      <c r="N813" t="s">
        <v>40</v>
      </c>
    </row>
    <row r="814" spans="2:14" x14ac:dyDescent="0.25">
      <c r="B814" s="1">
        <v>45263</v>
      </c>
      <c r="C814" t="s">
        <v>24</v>
      </c>
      <c r="D814" t="s">
        <v>15</v>
      </c>
      <c r="E814">
        <v>6521.53</v>
      </c>
      <c r="F814">
        <v>35</v>
      </c>
      <c r="G814" t="s">
        <v>35</v>
      </c>
      <c r="H814">
        <v>2885.16</v>
      </c>
      <c r="I814">
        <v>3224.8399999999901</v>
      </c>
      <c r="J814" t="s">
        <v>30</v>
      </c>
      <c r="K814">
        <v>0.14000000000000001</v>
      </c>
      <c r="L814" t="s">
        <v>18</v>
      </c>
      <c r="M814" t="s">
        <v>19</v>
      </c>
      <c r="N814" t="s">
        <v>45</v>
      </c>
    </row>
    <row r="815" spans="2:14" x14ac:dyDescent="0.25">
      <c r="B815" s="1">
        <v>45162</v>
      </c>
      <c r="C815" t="s">
        <v>14</v>
      </c>
      <c r="D815" t="s">
        <v>21</v>
      </c>
      <c r="E815">
        <v>2825.35</v>
      </c>
      <c r="F815">
        <v>20</v>
      </c>
      <c r="G815" t="s">
        <v>26</v>
      </c>
      <c r="H815">
        <v>729.27</v>
      </c>
      <c r="I815">
        <v>999.18</v>
      </c>
      <c r="J815" t="s">
        <v>30</v>
      </c>
      <c r="K815">
        <v>0.1</v>
      </c>
      <c r="L815" t="s">
        <v>27</v>
      </c>
      <c r="M815" t="s">
        <v>19</v>
      </c>
      <c r="N815" t="s">
        <v>23</v>
      </c>
    </row>
    <row r="816" spans="2:14" x14ac:dyDescent="0.25">
      <c r="B816" s="1">
        <v>45018</v>
      </c>
      <c r="C816" t="s">
        <v>24</v>
      </c>
      <c r="D816" t="s">
        <v>25</v>
      </c>
      <c r="E816">
        <v>1646.45</v>
      </c>
      <c r="F816">
        <v>46</v>
      </c>
      <c r="G816" t="s">
        <v>16</v>
      </c>
      <c r="H816">
        <v>4691.42</v>
      </c>
      <c r="I816">
        <v>5026.1899999999996</v>
      </c>
      <c r="J816" t="s">
        <v>17</v>
      </c>
      <c r="K816">
        <v>0.22</v>
      </c>
      <c r="L816" t="s">
        <v>27</v>
      </c>
      <c r="M816" t="s">
        <v>22</v>
      </c>
      <c r="N816" t="s">
        <v>28</v>
      </c>
    </row>
    <row r="817" spans="2:14" x14ac:dyDescent="0.25">
      <c r="B817" s="1">
        <v>44947</v>
      </c>
      <c r="C817" t="s">
        <v>33</v>
      </c>
      <c r="D817" t="s">
        <v>15</v>
      </c>
      <c r="E817">
        <v>6395.81</v>
      </c>
      <c r="F817">
        <v>3</v>
      </c>
      <c r="G817" t="s">
        <v>16</v>
      </c>
      <c r="H817">
        <v>1792.05</v>
      </c>
      <c r="I817">
        <v>2091.23</v>
      </c>
      <c r="J817" t="s">
        <v>17</v>
      </c>
      <c r="K817">
        <v>0.09</v>
      </c>
      <c r="L817" t="s">
        <v>18</v>
      </c>
      <c r="M817" t="s">
        <v>22</v>
      </c>
      <c r="N817" t="s">
        <v>53</v>
      </c>
    </row>
    <row r="818" spans="2:14" x14ac:dyDescent="0.25">
      <c r="B818" s="1">
        <v>45229</v>
      </c>
      <c r="C818" t="s">
        <v>24</v>
      </c>
      <c r="D818" t="s">
        <v>15</v>
      </c>
      <c r="E818">
        <v>6033.09</v>
      </c>
      <c r="F818">
        <v>1</v>
      </c>
      <c r="G818" t="s">
        <v>26</v>
      </c>
      <c r="H818">
        <v>2258.44</v>
      </c>
      <c r="I818">
        <v>2475.56</v>
      </c>
      <c r="J818" t="s">
        <v>30</v>
      </c>
      <c r="K818">
        <v>0.25</v>
      </c>
      <c r="L818" t="s">
        <v>18</v>
      </c>
      <c r="M818" t="s">
        <v>19</v>
      </c>
      <c r="N818" t="s">
        <v>45</v>
      </c>
    </row>
    <row r="819" spans="2:14" x14ac:dyDescent="0.25">
      <c r="B819" s="1">
        <v>45283</v>
      </c>
      <c r="C819" t="s">
        <v>14</v>
      </c>
      <c r="D819" t="s">
        <v>34</v>
      </c>
      <c r="E819">
        <v>1875.62</v>
      </c>
      <c r="F819">
        <v>47</v>
      </c>
      <c r="G819" t="s">
        <v>35</v>
      </c>
      <c r="H819">
        <v>3374.72</v>
      </c>
      <c r="I819">
        <v>3483.1499999999901</v>
      </c>
      <c r="J819" t="s">
        <v>17</v>
      </c>
      <c r="K819">
        <v>0.18</v>
      </c>
      <c r="L819" t="s">
        <v>18</v>
      </c>
      <c r="M819" t="s">
        <v>19</v>
      </c>
      <c r="N819" t="s">
        <v>46</v>
      </c>
    </row>
    <row r="820" spans="2:14" x14ac:dyDescent="0.25">
      <c r="B820" s="1">
        <v>45010</v>
      </c>
      <c r="C820" t="s">
        <v>14</v>
      </c>
      <c r="D820" t="s">
        <v>34</v>
      </c>
      <c r="E820">
        <v>7080.88</v>
      </c>
      <c r="F820">
        <v>1</v>
      </c>
      <c r="G820" t="s">
        <v>29</v>
      </c>
      <c r="H820">
        <v>1702.82</v>
      </c>
      <c r="I820">
        <v>1862.61</v>
      </c>
      <c r="J820" t="s">
        <v>17</v>
      </c>
      <c r="K820">
        <v>0.24</v>
      </c>
      <c r="L820" t="s">
        <v>18</v>
      </c>
      <c r="M820" t="s">
        <v>22</v>
      </c>
      <c r="N820" t="s">
        <v>46</v>
      </c>
    </row>
    <row r="821" spans="2:14" x14ac:dyDescent="0.25">
      <c r="B821" s="1">
        <v>45188</v>
      </c>
      <c r="C821" t="s">
        <v>42</v>
      </c>
      <c r="D821" t="s">
        <v>25</v>
      </c>
      <c r="E821">
        <v>4606.2</v>
      </c>
      <c r="F821">
        <v>17</v>
      </c>
      <c r="G821" t="s">
        <v>35</v>
      </c>
      <c r="H821">
        <v>1308.58</v>
      </c>
      <c r="I821">
        <v>1575.59</v>
      </c>
      <c r="J821" t="s">
        <v>30</v>
      </c>
      <c r="K821">
        <v>0.3</v>
      </c>
      <c r="L821" t="s">
        <v>18</v>
      </c>
      <c r="M821" t="s">
        <v>19</v>
      </c>
      <c r="N821" t="s">
        <v>43</v>
      </c>
    </row>
    <row r="822" spans="2:14" x14ac:dyDescent="0.25">
      <c r="B822" s="1">
        <v>45073</v>
      </c>
      <c r="C822" t="s">
        <v>38</v>
      </c>
      <c r="D822" t="s">
        <v>21</v>
      </c>
      <c r="E822">
        <v>6710.83</v>
      </c>
      <c r="F822">
        <v>2</v>
      </c>
      <c r="G822" t="s">
        <v>26</v>
      </c>
      <c r="H822">
        <v>3173.69</v>
      </c>
      <c r="I822">
        <v>3503.11</v>
      </c>
      <c r="J822" t="s">
        <v>30</v>
      </c>
      <c r="K822">
        <v>0.2</v>
      </c>
      <c r="L822" t="s">
        <v>27</v>
      </c>
      <c r="M822" t="s">
        <v>22</v>
      </c>
      <c r="N822" t="s">
        <v>41</v>
      </c>
    </row>
    <row r="823" spans="2:14" x14ac:dyDescent="0.25">
      <c r="B823" s="1">
        <v>45183</v>
      </c>
      <c r="C823" t="s">
        <v>24</v>
      </c>
      <c r="D823" t="s">
        <v>25</v>
      </c>
      <c r="E823">
        <v>8389.93</v>
      </c>
      <c r="F823">
        <v>29</v>
      </c>
      <c r="G823" t="s">
        <v>16</v>
      </c>
      <c r="H823">
        <v>173.67</v>
      </c>
      <c r="I823">
        <v>565.62</v>
      </c>
      <c r="J823" t="s">
        <v>17</v>
      </c>
      <c r="K823">
        <v>0.3</v>
      </c>
      <c r="L823" t="s">
        <v>18</v>
      </c>
      <c r="M823" t="s">
        <v>19</v>
      </c>
      <c r="N823" t="s">
        <v>28</v>
      </c>
    </row>
    <row r="824" spans="2:14" x14ac:dyDescent="0.25">
      <c r="B824" s="1">
        <v>44984</v>
      </c>
      <c r="C824" t="s">
        <v>42</v>
      </c>
      <c r="D824" t="s">
        <v>21</v>
      </c>
      <c r="E824">
        <v>1780.31</v>
      </c>
      <c r="F824">
        <v>20</v>
      </c>
      <c r="G824" t="s">
        <v>29</v>
      </c>
      <c r="H824">
        <v>3617.59</v>
      </c>
      <c r="I824">
        <v>4003.5</v>
      </c>
      <c r="J824" t="s">
        <v>30</v>
      </c>
      <c r="K824">
        <v>0.01</v>
      </c>
      <c r="L824" t="s">
        <v>31</v>
      </c>
      <c r="M824" t="s">
        <v>22</v>
      </c>
      <c r="N824" t="s">
        <v>51</v>
      </c>
    </row>
    <row r="825" spans="2:14" x14ac:dyDescent="0.25">
      <c r="B825" s="1">
        <v>44941</v>
      </c>
      <c r="C825" t="s">
        <v>38</v>
      </c>
      <c r="D825" t="s">
        <v>15</v>
      </c>
      <c r="E825">
        <v>289.52999999999997</v>
      </c>
      <c r="F825">
        <v>6</v>
      </c>
      <c r="G825" t="s">
        <v>16</v>
      </c>
      <c r="H825">
        <v>2594.42</v>
      </c>
      <c r="I825">
        <v>3081.04</v>
      </c>
      <c r="J825" t="s">
        <v>17</v>
      </c>
      <c r="K825">
        <v>0.1</v>
      </c>
      <c r="L825" t="s">
        <v>27</v>
      </c>
      <c r="M825" t="s">
        <v>22</v>
      </c>
      <c r="N825" t="s">
        <v>40</v>
      </c>
    </row>
    <row r="826" spans="2:14" x14ac:dyDescent="0.25">
      <c r="B826" s="1">
        <v>45088</v>
      </c>
      <c r="C826" t="s">
        <v>24</v>
      </c>
      <c r="D826" t="s">
        <v>34</v>
      </c>
      <c r="E826">
        <v>7813.12</v>
      </c>
      <c r="F826">
        <v>8</v>
      </c>
      <c r="G826" t="s">
        <v>26</v>
      </c>
      <c r="H826">
        <v>3048.48</v>
      </c>
      <c r="I826">
        <v>3198.54</v>
      </c>
      <c r="J826" t="s">
        <v>17</v>
      </c>
      <c r="K826">
        <v>0.03</v>
      </c>
      <c r="L826" t="s">
        <v>27</v>
      </c>
      <c r="M826" t="s">
        <v>19</v>
      </c>
      <c r="N826" t="s">
        <v>50</v>
      </c>
    </row>
    <row r="827" spans="2:14" x14ac:dyDescent="0.25">
      <c r="B827" s="1">
        <v>45089</v>
      </c>
      <c r="C827" t="s">
        <v>33</v>
      </c>
      <c r="D827" t="s">
        <v>25</v>
      </c>
      <c r="E827">
        <v>6136</v>
      </c>
      <c r="F827">
        <v>29</v>
      </c>
      <c r="G827" t="s">
        <v>35</v>
      </c>
      <c r="H827">
        <v>3177.81</v>
      </c>
      <c r="I827">
        <v>3222.65</v>
      </c>
      <c r="J827" t="s">
        <v>17</v>
      </c>
      <c r="K827">
        <v>0.08</v>
      </c>
      <c r="L827" t="s">
        <v>31</v>
      </c>
      <c r="M827" t="s">
        <v>22</v>
      </c>
      <c r="N827" t="s">
        <v>44</v>
      </c>
    </row>
    <row r="828" spans="2:14" x14ac:dyDescent="0.25">
      <c r="B828" s="1">
        <v>45246</v>
      </c>
      <c r="C828" t="s">
        <v>24</v>
      </c>
      <c r="D828" t="s">
        <v>25</v>
      </c>
      <c r="E828">
        <v>7026.43</v>
      </c>
      <c r="F828">
        <v>48</v>
      </c>
      <c r="G828" t="s">
        <v>29</v>
      </c>
      <c r="H828">
        <v>2658.9</v>
      </c>
      <c r="I828">
        <v>2838.27</v>
      </c>
      <c r="J828" t="s">
        <v>30</v>
      </c>
      <c r="K828">
        <v>0.25</v>
      </c>
      <c r="L828" t="s">
        <v>31</v>
      </c>
      <c r="M828" t="s">
        <v>19</v>
      </c>
      <c r="N828" t="s">
        <v>28</v>
      </c>
    </row>
    <row r="829" spans="2:14" x14ac:dyDescent="0.25">
      <c r="B829" s="1">
        <v>45207</v>
      </c>
      <c r="C829" t="s">
        <v>14</v>
      </c>
      <c r="D829" t="s">
        <v>21</v>
      </c>
      <c r="E829">
        <v>8397.73</v>
      </c>
      <c r="F829">
        <v>33</v>
      </c>
      <c r="G829" t="s">
        <v>16</v>
      </c>
      <c r="H829">
        <v>2933.54</v>
      </c>
      <c r="I829">
        <v>3307.75</v>
      </c>
      <c r="J829" t="s">
        <v>17</v>
      </c>
      <c r="K829">
        <v>0.01</v>
      </c>
      <c r="L829" t="s">
        <v>27</v>
      </c>
      <c r="M829" t="s">
        <v>22</v>
      </c>
      <c r="N829" t="s">
        <v>23</v>
      </c>
    </row>
    <row r="830" spans="2:14" x14ac:dyDescent="0.25">
      <c r="B830" s="1">
        <v>45206</v>
      </c>
      <c r="C830" t="s">
        <v>14</v>
      </c>
      <c r="D830" t="s">
        <v>21</v>
      </c>
      <c r="E830">
        <v>8047.83</v>
      </c>
      <c r="F830">
        <v>3</v>
      </c>
      <c r="G830" t="s">
        <v>16</v>
      </c>
      <c r="H830">
        <v>3434.75</v>
      </c>
      <c r="I830">
        <v>3659.42</v>
      </c>
      <c r="J830" t="s">
        <v>30</v>
      </c>
      <c r="K830">
        <v>0.16</v>
      </c>
      <c r="L830" t="s">
        <v>18</v>
      </c>
      <c r="M830" t="s">
        <v>19</v>
      </c>
      <c r="N830" t="s">
        <v>23</v>
      </c>
    </row>
    <row r="831" spans="2:14" x14ac:dyDescent="0.25">
      <c r="B831" s="1">
        <v>44938</v>
      </c>
      <c r="C831" t="s">
        <v>33</v>
      </c>
      <c r="D831" t="s">
        <v>25</v>
      </c>
      <c r="E831">
        <v>9613.11</v>
      </c>
      <c r="F831">
        <v>35</v>
      </c>
      <c r="G831" t="s">
        <v>16</v>
      </c>
      <c r="H831">
        <v>3777.94</v>
      </c>
      <c r="I831">
        <v>4188.66</v>
      </c>
      <c r="J831" t="s">
        <v>30</v>
      </c>
      <c r="K831">
        <v>0.17</v>
      </c>
      <c r="L831" t="s">
        <v>27</v>
      </c>
      <c r="M831" t="s">
        <v>19</v>
      </c>
      <c r="N831" t="s">
        <v>44</v>
      </c>
    </row>
    <row r="832" spans="2:14" x14ac:dyDescent="0.25">
      <c r="B832" s="1">
        <v>45200</v>
      </c>
      <c r="C832" t="s">
        <v>42</v>
      </c>
      <c r="D832" t="s">
        <v>21</v>
      </c>
      <c r="E832">
        <v>5405.76</v>
      </c>
      <c r="F832">
        <v>5</v>
      </c>
      <c r="G832" t="s">
        <v>35</v>
      </c>
      <c r="H832">
        <v>3650.89</v>
      </c>
      <c r="I832">
        <v>3930.06</v>
      </c>
      <c r="J832" t="s">
        <v>30</v>
      </c>
      <c r="K832">
        <v>0.17</v>
      </c>
      <c r="L832" t="s">
        <v>27</v>
      </c>
      <c r="M832" t="s">
        <v>19</v>
      </c>
      <c r="N832" t="s">
        <v>51</v>
      </c>
    </row>
    <row r="833" spans="2:14" x14ac:dyDescent="0.25">
      <c r="B833" s="1">
        <v>45197</v>
      </c>
      <c r="C833" t="s">
        <v>38</v>
      </c>
      <c r="D833" t="s">
        <v>25</v>
      </c>
      <c r="E833">
        <v>4936.1099999999997</v>
      </c>
      <c r="F833">
        <v>27</v>
      </c>
      <c r="G833" t="s">
        <v>29</v>
      </c>
      <c r="H833">
        <v>4354.6000000000004</v>
      </c>
      <c r="I833">
        <v>4820.2</v>
      </c>
      <c r="J833" t="s">
        <v>30</v>
      </c>
      <c r="K833">
        <v>0.14000000000000001</v>
      </c>
      <c r="L833" t="s">
        <v>31</v>
      </c>
      <c r="M833" t="s">
        <v>22</v>
      </c>
      <c r="N833" t="s">
        <v>39</v>
      </c>
    </row>
    <row r="834" spans="2:14" x14ac:dyDescent="0.25">
      <c r="B834" s="1">
        <v>45134</v>
      </c>
      <c r="C834" t="s">
        <v>24</v>
      </c>
      <c r="D834" t="s">
        <v>25</v>
      </c>
      <c r="E834">
        <v>4078.68</v>
      </c>
      <c r="F834">
        <v>44</v>
      </c>
      <c r="G834" t="s">
        <v>35</v>
      </c>
      <c r="H834">
        <v>987.74</v>
      </c>
      <c r="I834">
        <v>1462.19</v>
      </c>
      <c r="J834" t="s">
        <v>30</v>
      </c>
      <c r="K834">
        <v>0.24</v>
      </c>
      <c r="L834" t="s">
        <v>27</v>
      </c>
      <c r="M834" t="s">
        <v>19</v>
      </c>
      <c r="N834" t="s">
        <v>28</v>
      </c>
    </row>
    <row r="835" spans="2:14" x14ac:dyDescent="0.25">
      <c r="B835" s="1">
        <v>44953</v>
      </c>
      <c r="C835" t="s">
        <v>14</v>
      </c>
      <c r="D835" t="s">
        <v>25</v>
      </c>
      <c r="E835">
        <v>1621.54</v>
      </c>
      <c r="F835">
        <v>12</v>
      </c>
      <c r="G835" t="s">
        <v>35</v>
      </c>
      <c r="H835">
        <v>2035.68</v>
      </c>
      <c r="I835">
        <v>2079.64</v>
      </c>
      <c r="J835" t="s">
        <v>17</v>
      </c>
      <c r="K835">
        <v>0.04</v>
      </c>
      <c r="L835" t="s">
        <v>18</v>
      </c>
      <c r="M835" t="s">
        <v>19</v>
      </c>
      <c r="N835" t="s">
        <v>32</v>
      </c>
    </row>
    <row r="836" spans="2:14" x14ac:dyDescent="0.25">
      <c r="B836" s="1">
        <v>44998</v>
      </c>
      <c r="C836" t="s">
        <v>42</v>
      </c>
      <c r="D836" t="s">
        <v>15</v>
      </c>
      <c r="E836">
        <v>5768.81</v>
      </c>
      <c r="F836">
        <v>20</v>
      </c>
      <c r="G836" t="s">
        <v>35</v>
      </c>
      <c r="H836">
        <v>4741.59</v>
      </c>
      <c r="I836">
        <v>4975.2299999999996</v>
      </c>
      <c r="J836" t="s">
        <v>30</v>
      </c>
      <c r="K836">
        <v>0.09</v>
      </c>
      <c r="L836" t="s">
        <v>31</v>
      </c>
      <c r="M836" t="s">
        <v>19</v>
      </c>
      <c r="N836" t="s">
        <v>49</v>
      </c>
    </row>
    <row r="837" spans="2:14" x14ac:dyDescent="0.25">
      <c r="B837" s="1">
        <v>44986</v>
      </c>
      <c r="C837" t="s">
        <v>33</v>
      </c>
      <c r="D837" t="s">
        <v>21</v>
      </c>
      <c r="E837">
        <v>2842.42</v>
      </c>
      <c r="F837">
        <v>45</v>
      </c>
      <c r="G837" t="s">
        <v>26</v>
      </c>
      <c r="H837">
        <v>2013.12</v>
      </c>
      <c r="I837">
        <v>2321.87</v>
      </c>
      <c r="J837" t="s">
        <v>30</v>
      </c>
      <c r="K837">
        <v>0.18</v>
      </c>
      <c r="L837" t="s">
        <v>27</v>
      </c>
      <c r="M837" t="s">
        <v>22</v>
      </c>
      <c r="N837" t="s">
        <v>37</v>
      </c>
    </row>
    <row r="838" spans="2:14" x14ac:dyDescent="0.25">
      <c r="B838" s="1">
        <v>45071</v>
      </c>
      <c r="C838" t="s">
        <v>14</v>
      </c>
      <c r="D838" t="s">
        <v>34</v>
      </c>
      <c r="E838">
        <v>9220.94</v>
      </c>
      <c r="F838">
        <v>20</v>
      </c>
      <c r="G838" t="s">
        <v>26</v>
      </c>
      <c r="H838">
        <v>668.11</v>
      </c>
      <c r="I838">
        <v>803.49</v>
      </c>
      <c r="J838" t="s">
        <v>30</v>
      </c>
      <c r="K838">
        <v>0.21</v>
      </c>
      <c r="L838" t="s">
        <v>27</v>
      </c>
      <c r="M838" t="s">
        <v>19</v>
      </c>
      <c r="N838" t="s">
        <v>46</v>
      </c>
    </row>
    <row r="839" spans="2:14" x14ac:dyDescent="0.25">
      <c r="B839" s="1">
        <v>45019</v>
      </c>
      <c r="C839" t="s">
        <v>33</v>
      </c>
      <c r="D839" t="s">
        <v>34</v>
      </c>
      <c r="E839">
        <v>5873.59</v>
      </c>
      <c r="F839">
        <v>9</v>
      </c>
      <c r="G839" t="s">
        <v>26</v>
      </c>
      <c r="H839">
        <v>2650.95</v>
      </c>
      <c r="I839">
        <v>2860.4199999999901</v>
      </c>
      <c r="J839" t="s">
        <v>30</v>
      </c>
      <c r="K839">
        <v>0.12</v>
      </c>
      <c r="L839" t="s">
        <v>18</v>
      </c>
      <c r="M839" t="s">
        <v>22</v>
      </c>
      <c r="N839" t="s">
        <v>36</v>
      </c>
    </row>
    <row r="840" spans="2:14" x14ac:dyDescent="0.25">
      <c r="B840" s="1">
        <v>45235</v>
      </c>
      <c r="C840" t="s">
        <v>24</v>
      </c>
      <c r="D840" t="s">
        <v>21</v>
      </c>
      <c r="E840">
        <v>5969.12</v>
      </c>
      <c r="F840">
        <v>39</v>
      </c>
      <c r="G840" t="s">
        <v>29</v>
      </c>
      <c r="H840">
        <v>591.98</v>
      </c>
      <c r="I840">
        <v>934.04</v>
      </c>
      <c r="J840" t="s">
        <v>30</v>
      </c>
      <c r="K840">
        <v>0.26</v>
      </c>
      <c r="L840" t="s">
        <v>27</v>
      </c>
      <c r="M840" t="s">
        <v>22</v>
      </c>
      <c r="N840" t="s">
        <v>47</v>
      </c>
    </row>
    <row r="841" spans="2:14" x14ac:dyDescent="0.25">
      <c r="B841" s="1">
        <v>44934</v>
      </c>
      <c r="C841" t="s">
        <v>38</v>
      </c>
      <c r="D841" t="s">
        <v>25</v>
      </c>
      <c r="E841">
        <v>3613.75</v>
      </c>
      <c r="F841">
        <v>4</v>
      </c>
      <c r="G841" t="s">
        <v>35</v>
      </c>
      <c r="H841">
        <v>1054.1199999999999</v>
      </c>
      <c r="I841">
        <v>1175.21999999999</v>
      </c>
      <c r="J841" t="s">
        <v>17</v>
      </c>
      <c r="K841">
        <v>0.12</v>
      </c>
      <c r="L841" t="s">
        <v>27</v>
      </c>
      <c r="M841" t="s">
        <v>22</v>
      </c>
      <c r="N841" t="s">
        <v>39</v>
      </c>
    </row>
    <row r="842" spans="2:14" x14ac:dyDescent="0.25">
      <c r="B842" s="1">
        <v>45005</v>
      </c>
      <c r="C842" t="s">
        <v>14</v>
      </c>
      <c r="D842" t="s">
        <v>34</v>
      </c>
      <c r="E842">
        <v>614.69000000000005</v>
      </c>
      <c r="F842">
        <v>19</v>
      </c>
      <c r="G842" t="s">
        <v>35</v>
      </c>
      <c r="H842">
        <v>4991.68</v>
      </c>
      <c r="I842">
        <v>5296.65</v>
      </c>
      <c r="J842" t="s">
        <v>30</v>
      </c>
      <c r="K842">
        <v>0.12</v>
      </c>
      <c r="L842" t="s">
        <v>27</v>
      </c>
      <c r="M842" t="s">
        <v>19</v>
      </c>
      <c r="N842" t="s">
        <v>46</v>
      </c>
    </row>
    <row r="843" spans="2:14" x14ac:dyDescent="0.25">
      <c r="B843" s="1">
        <v>44953</v>
      </c>
      <c r="C843" t="s">
        <v>14</v>
      </c>
      <c r="D843" t="s">
        <v>34</v>
      </c>
      <c r="E843">
        <v>414.26</v>
      </c>
      <c r="F843">
        <v>38</v>
      </c>
      <c r="G843" t="s">
        <v>26</v>
      </c>
      <c r="H843">
        <v>2729.75</v>
      </c>
      <c r="I843">
        <v>3081.5</v>
      </c>
      <c r="J843" t="s">
        <v>30</v>
      </c>
      <c r="K843">
        <v>0.01</v>
      </c>
      <c r="L843" t="s">
        <v>27</v>
      </c>
      <c r="M843" t="s">
        <v>19</v>
      </c>
      <c r="N843" t="s">
        <v>46</v>
      </c>
    </row>
    <row r="844" spans="2:14" x14ac:dyDescent="0.25">
      <c r="B844" s="1">
        <v>45100</v>
      </c>
      <c r="C844" t="s">
        <v>24</v>
      </c>
      <c r="D844" t="s">
        <v>21</v>
      </c>
      <c r="E844">
        <v>4291.0200000000004</v>
      </c>
      <c r="F844">
        <v>27</v>
      </c>
      <c r="G844" t="s">
        <v>35</v>
      </c>
      <c r="H844">
        <v>1456.09</v>
      </c>
      <c r="I844">
        <v>1510.4299999999901</v>
      </c>
      <c r="J844" t="s">
        <v>17</v>
      </c>
      <c r="K844">
        <v>0.17</v>
      </c>
      <c r="L844" t="s">
        <v>18</v>
      </c>
      <c r="M844" t="s">
        <v>22</v>
      </c>
      <c r="N844" t="s">
        <v>47</v>
      </c>
    </row>
    <row r="845" spans="2:14" x14ac:dyDescent="0.25">
      <c r="B845" s="1">
        <v>44976</v>
      </c>
      <c r="C845" t="s">
        <v>42</v>
      </c>
      <c r="D845" t="s">
        <v>34</v>
      </c>
      <c r="E845">
        <v>937.2</v>
      </c>
      <c r="F845">
        <v>45</v>
      </c>
      <c r="G845" t="s">
        <v>35</v>
      </c>
      <c r="H845">
        <v>4974.1400000000003</v>
      </c>
      <c r="I845">
        <v>5227.93</v>
      </c>
      <c r="J845" t="s">
        <v>30</v>
      </c>
      <c r="K845">
        <v>0.21</v>
      </c>
      <c r="L845" t="s">
        <v>27</v>
      </c>
      <c r="M845" t="s">
        <v>19</v>
      </c>
      <c r="N845" t="s">
        <v>52</v>
      </c>
    </row>
    <row r="846" spans="2:14" x14ac:dyDescent="0.25">
      <c r="B846" s="1">
        <v>45125</v>
      </c>
      <c r="C846" t="s">
        <v>38</v>
      </c>
      <c r="D846" t="s">
        <v>25</v>
      </c>
      <c r="E846">
        <v>6107.78</v>
      </c>
      <c r="F846">
        <v>43</v>
      </c>
      <c r="G846" t="s">
        <v>16</v>
      </c>
      <c r="H846">
        <v>4834.47</v>
      </c>
      <c r="I846">
        <v>4973.38</v>
      </c>
      <c r="J846" t="s">
        <v>17</v>
      </c>
      <c r="K846">
        <v>0.03</v>
      </c>
      <c r="L846" t="s">
        <v>27</v>
      </c>
      <c r="M846" t="s">
        <v>19</v>
      </c>
      <c r="N846" t="s">
        <v>39</v>
      </c>
    </row>
    <row r="847" spans="2:14" x14ac:dyDescent="0.25">
      <c r="B847" s="1">
        <v>45275</v>
      </c>
      <c r="C847" t="s">
        <v>14</v>
      </c>
      <c r="D847" t="s">
        <v>21</v>
      </c>
      <c r="E847">
        <v>8821.6299999999992</v>
      </c>
      <c r="F847">
        <v>13</v>
      </c>
      <c r="G847" t="s">
        <v>35</v>
      </c>
      <c r="H847">
        <v>2231.66</v>
      </c>
      <c r="I847">
        <v>2596.6099999999901</v>
      </c>
      <c r="J847" t="s">
        <v>17</v>
      </c>
      <c r="K847">
        <v>0.09</v>
      </c>
      <c r="L847" t="s">
        <v>27</v>
      </c>
      <c r="M847" t="s">
        <v>22</v>
      </c>
      <c r="N847" t="s">
        <v>23</v>
      </c>
    </row>
    <row r="848" spans="2:14" x14ac:dyDescent="0.25">
      <c r="B848" s="1">
        <v>45107</v>
      </c>
      <c r="C848" t="s">
        <v>38</v>
      </c>
      <c r="D848" t="s">
        <v>25</v>
      </c>
      <c r="E848">
        <v>8840.86</v>
      </c>
      <c r="F848">
        <v>13</v>
      </c>
      <c r="G848" t="s">
        <v>16</v>
      </c>
      <c r="H848">
        <v>1339</v>
      </c>
      <c r="I848">
        <v>1441.88</v>
      </c>
      <c r="J848" t="s">
        <v>17</v>
      </c>
      <c r="K848">
        <v>0.23</v>
      </c>
      <c r="L848" t="s">
        <v>31</v>
      </c>
      <c r="M848" t="s">
        <v>22</v>
      </c>
      <c r="N848" t="s">
        <v>39</v>
      </c>
    </row>
    <row r="849" spans="2:14" x14ac:dyDescent="0.25">
      <c r="B849" s="1">
        <v>44950</v>
      </c>
      <c r="C849" t="s">
        <v>14</v>
      </c>
      <c r="D849" t="s">
        <v>34</v>
      </c>
      <c r="E849">
        <v>6624.55</v>
      </c>
      <c r="F849">
        <v>22</v>
      </c>
      <c r="G849" t="s">
        <v>35</v>
      </c>
      <c r="H849">
        <v>4200.08</v>
      </c>
      <c r="I849">
        <v>4647.28</v>
      </c>
      <c r="J849" t="s">
        <v>17</v>
      </c>
      <c r="K849">
        <v>0.11</v>
      </c>
      <c r="L849" t="s">
        <v>18</v>
      </c>
      <c r="M849" t="s">
        <v>19</v>
      </c>
      <c r="N849" t="s">
        <v>46</v>
      </c>
    </row>
    <row r="850" spans="2:14" x14ac:dyDescent="0.25">
      <c r="B850" s="1">
        <v>45242</v>
      </c>
      <c r="C850" t="s">
        <v>38</v>
      </c>
      <c r="D850" t="s">
        <v>34</v>
      </c>
      <c r="E850">
        <v>2191.1999999999998</v>
      </c>
      <c r="F850">
        <v>28</v>
      </c>
      <c r="G850" t="s">
        <v>29</v>
      </c>
      <c r="H850">
        <v>3592.32</v>
      </c>
      <c r="I850">
        <v>3813.48</v>
      </c>
      <c r="J850" t="s">
        <v>30</v>
      </c>
      <c r="K850">
        <v>7.0000000000000007E-2</v>
      </c>
      <c r="L850" t="s">
        <v>31</v>
      </c>
      <c r="M850" t="s">
        <v>22</v>
      </c>
      <c r="N850" t="s">
        <v>48</v>
      </c>
    </row>
    <row r="851" spans="2:14" x14ac:dyDescent="0.25">
      <c r="B851" s="1">
        <v>44972</v>
      </c>
      <c r="C851" t="s">
        <v>33</v>
      </c>
      <c r="D851" t="s">
        <v>25</v>
      </c>
      <c r="E851">
        <v>8643.67</v>
      </c>
      <c r="F851">
        <v>47</v>
      </c>
      <c r="G851" t="s">
        <v>26</v>
      </c>
      <c r="H851">
        <v>3450.36</v>
      </c>
      <c r="I851">
        <v>3557.38</v>
      </c>
      <c r="J851" t="s">
        <v>30</v>
      </c>
      <c r="K851">
        <v>0.2</v>
      </c>
      <c r="L851" t="s">
        <v>31</v>
      </c>
      <c r="M851" t="s">
        <v>19</v>
      </c>
      <c r="N851" t="s">
        <v>44</v>
      </c>
    </row>
    <row r="852" spans="2:14" x14ac:dyDescent="0.25">
      <c r="B852" s="1">
        <v>44941</v>
      </c>
      <c r="C852" t="s">
        <v>14</v>
      </c>
      <c r="D852" t="s">
        <v>15</v>
      </c>
      <c r="E852">
        <v>8872.33</v>
      </c>
      <c r="F852">
        <v>45</v>
      </c>
      <c r="G852" t="s">
        <v>16</v>
      </c>
      <c r="H852">
        <v>4470.91</v>
      </c>
      <c r="I852">
        <v>4695.54</v>
      </c>
      <c r="J852" t="s">
        <v>17</v>
      </c>
      <c r="K852">
        <v>0.06</v>
      </c>
      <c r="L852" t="s">
        <v>18</v>
      </c>
      <c r="M852" t="s">
        <v>22</v>
      </c>
      <c r="N852" t="s">
        <v>20</v>
      </c>
    </row>
    <row r="853" spans="2:14" x14ac:dyDescent="0.25">
      <c r="B853" s="1">
        <v>45079</v>
      </c>
      <c r="C853" t="s">
        <v>38</v>
      </c>
      <c r="D853" t="s">
        <v>34</v>
      </c>
      <c r="E853">
        <v>2046.87</v>
      </c>
      <c r="F853">
        <v>22</v>
      </c>
      <c r="G853" t="s">
        <v>26</v>
      </c>
      <c r="H853">
        <v>3462.61</v>
      </c>
      <c r="I853">
        <v>3672.89</v>
      </c>
      <c r="J853" t="s">
        <v>17</v>
      </c>
      <c r="K853">
        <v>0.27</v>
      </c>
      <c r="L853" t="s">
        <v>31</v>
      </c>
      <c r="M853" t="s">
        <v>19</v>
      </c>
      <c r="N853" t="s">
        <v>48</v>
      </c>
    </row>
    <row r="854" spans="2:14" x14ac:dyDescent="0.25">
      <c r="B854" s="1">
        <v>45148</v>
      </c>
      <c r="C854" t="s">
        <v>42</v>
      </c>
      <c r="D854" t="s">
        <v>15</v>
      </c>
      <c r="E854">
        <v>7400.52</v>
      </c>
      <c r="F854">
        <v>43</v>
      </c>
      <c r="G854" t="s">
        <v>16</v>
      </c>
      <c r="H854">
        <v>1454.8</v>
      </c>
      <c r="I854">
        <v>1674.97</v>
      </c>
      <c r="J854" t="s">
        <v>30</v>
      </c>
      <c r="K854">
        <v>0.03</v>
      </c>
      <c r="L854" t="s">
        <v>31</v>
      </c>
      <c r="M854" t="s">
        <v>19</v>
      </c>
      <c r="N854" t="s">
        <v>49</v>
      </c>
    </row>
    <row r="855" spans="2:14" x14ac:dyDescent="0.25">
      <c r="B855" s="1">
        <v>45132</v>
      </c>
      <c r="C855" t="s">
        <v>33</v>
      </c>
      <c r="D855" t="s">
        <v>34</v>
      </c>
      <c r="E855">
        <v>2936.54</v>
      </c>
      <c r="F855">
        <v>19</v>
      </c>
      <c r="G855" t="s">
        <v>16</v>
      </c>
      <c r="H855">
        <v>3484.62</v>
      </c>
      <c r="I855">
        <v>3781.5499999999902</v>
      </c>
      <c r="J855" t="s">
        <v>17</v>
      </c>
      <c r="K855">
        <v>0.21</v>
      </c>
      <c r="L855" t="s">
        <v>31</v>
      </c>
      <c r="M855" t="s">
        <v>22</v>
      </c>
      <c r="N855" t="s">
        <v>36</v>
      </c>
    </row>
    <row r="856" spans="2:14" x14ac:dyDescent="0.25">
      <c r="B856" s="1">
        <v>45199</v>
      </c>
      <c r="C856" t="s">
        <v>33</v>
      </c>
      <c r="D856" t="s">
        <v>15</v>
      </c>
      <c r="E856">
        <v>8046.14</v>
      </c>
      <c r="F856">
        <v>8</v>
      </c>
      <c r="G856" t="s">
        <v>16</v>
      </c>
      <c r="H856">
        <v>1563.78</v>
      </c>
      <c r="I856">
        <v>1829.1599999999901</v>
      </c>
      <c r="J856" t="s">
        <v>17</v>
      </c>
      <c r="K856">
        <v>0.15</v>
      </c>
      <c r="L856" t="s">
        <v>18</v>
      </c>
      <c r="M856" t="s">
        <v>19</v>
      </c>
      <c r="N856" t="s">
        <v>53</v>
      </c>
    </row>
    <row r="857" spans="2:14" x14ac:dyDescent="0.25">
      <c r="B857" s="1">
        <v>45162</v>
      </c>
      <c r="C857" t="s">
        <v>42</v>
      </c>
      <c r="D857" t="s">
        <v>15</v>
      </c>
      <c r="E857">
        <v>9972.66</v>
      </c>
      <c r="F857">
        <v>8</v>
      </c>
      <c r="G857" t="s">
        <v>29</v>
      </c>
      <c r="H857">
        <v>3808.23</v>
      </c>
      <c r="I857">
        <v>3891.62</v>
      </c>
      <c r="J857" t="s">
        <v>17</v>
      </c>
      <c r="K857">
        <v>0.26</v>
      </c>
      <c r="L857" t="s">
        <v>27</v>
      </c>
      <c r="M857" t="s">
        <v>19</v>
      </c>
      <c r="N857" t="s">
        <v>49</v>
      </c>
    </row>
    <row r="858" spans="2:14" x14ac:dyDescent="0.25">
      <c r="B858" s="1">
        <v>45266</v>
      </c>
      <c r="C858" t="s">
        <v>38</v>
      </c>
      <c r="D858" t="s">
        <v>15</v>
      </c>
      <c r="E858">
        <v>397.26</v>
      </c>
      <c r="F858">
        <v>42</v>
      </c>
      <c r="G858" t="s">
        <v>35</v>
      </c>
      <c r="H858">
        <v>3117.75</v>
      </c>
      <c r="I858">
        <v>3159.88</v>
      </c>
      <c r="J858" t="s">
        <v>30</v>
      </c>
      <c r="K858">
        <v>0.04</v>
      </c>
      <c r="L858" t="s">
        <v>18</v>
      </c>
      <c r="M858" t="s">
        <v>22</v>
      </c>
      <c r="N858" t="s">
        <v>40</v>
      </c>
    </row>
    <row r="859" spans="2:14" x14ac:dyDescent="0.25">
      <c r="B859" s="1">
        <v>45154</v>
      </c>
      <c r="C859" t="s">
        <v>24</v>
      </c>
      <c r="D859" t="s">
        <v>25</v>
      </c>
      <c r="E859">
        <v>8983.92</v>
      </c>
      <c r="F859">
        <v>26</v>
      </c>
      <c r="G859" t="s">
        <v>16</v>
      </c>
      <c r="H859">
        <v>433.19</v>
      </c>
      <c r="I859">
        <v>800.6</v>
      </c>
      <c r="J859" t="s">
        <v>17</v>
      </c>
      <c r="K859">
        <v>0.2</v>
      </c>
      <c r="L859" t="s">
        <v>18</v>
      </c>
      <c r="M859" t="s">
        <v>19</v>
      </c>
      <c r="N859" t="s">
        <v>28</v>
      </c>
    </row>
    <row r="860" spans="2:14" x14ac:dyDescent="0.25">
      <c r="B860" s="1">
        <v>44935</v>
      </c>
      <c r="C860" t="s">
        <v>42</v>
      </c>
      <c r="D860" t="s">
        <v>15</v>
      </c>
      <c r="E860">
        <v>6264.04</v>
      </c>
      <c r="F860">
        <v>48</v>
      </c>
      <c r="G860" t="s">
        <v>29</v>
      </c>
      <c r="H860">
        <v>2588.54</v>
      </c>
      <c r="I860">
        <v>2872.8</v>
      </c>
      <c r="J860" t="s">
        <v>30</v>
      </c>
      <c r="K860">
        <v>0.17</v>
      </c>
      <c r="L860" t="s">
        <v>18</v>
      </c>
      <c r="M860" t="s">
        <v>19</v>
      </c>
      <c r="N860" t="s">
        <v>49</v>
      </c>
    </row>
    <row r="861" spans="2:14" x14ac:dyDescent="0.25">
      <c r="B861" s="1">
        <v>45092</v>
      </c>
      <c r="C861" t="s">
        <v>38</v>
      </c>
      <c r="D861" t="s">
        <v>15</v>
      </c>
      <c r="E861">
        <v>9736.49</v>
      </c>
      <c r="F861">
        <v>26</v>
      </c>
      <c r="G861" t="s">
        <v>16</v>
      </c>
      <c r="H861">
        <v>1749.34</v>
      </c>
      <c r="I861">
        <v>1935.25</v>
      </c>
      <c r="J861" t="s">
        <v>30</v>
      </c>
      <c r="K861">
        <v>0.14000000000000001</v>
      </c>
      <c r="L861" t="s">
        <v>31</v>
      </c>
      <c r="M861" t="s">
        <v>19</v>
      </c>
      <c r="N861" t="s">
        <v>40</v>
      </c>
    </row>
    <row r="862" spans="2:14" x14ac:dyDescent="0.25">
      <c r="B862" s="1">
        <v>45245</v>
      </c>
      <c r="C862" t="s">
        <v>42</v>
      </c>
      <c r="D862" t="s">
        <v>15</v>
      </c>
      <c r="E862">
        <v>4703.59</v>
      </c>
      <c r="F862">
        <v>23</v>
      </c>
      <c r="G862" t="s">
        <v>35</v>
      </c>
      <c r="H862">
        <v>1676.42</v>
      </c>
      <c r="I862">
        <v>2082.52</v>
      </c>
      <c r="J862" t="s">
        <v>30</v>
      </c>
      <c r="K862">
        <v>0.15</v>
      </c>
      <c r="L862" t="s">
        <v>27</v>
      </c>
      <c r="M862" t="s">
        <v>22</v>
      </c>
      <c r="N862" t="s">
        <v>49</v>
      </c>
    </row>
    <row r="863" spans="2:14" x14ac:dyDescent="0.25">
      <c r="B863" s="1">
        <v>45140</v>
      </c>
      <c r="C863" t="s">
        <v>42</v>
      </c>
      <c r="D863" t="s">
        <v>34</v>
      </c>
      <c r="E863">
        <v>8489.14</v>
      </c>
      <c r="F863">
        <v>43</v>
      </c>
      <c r="G863" t="s">
        <v>16</v>
      </c>
      <c r="H863">
        <v>3031.17</v>
      </c>
      <c r="I863">
        <v>3231.32</v>
      </c>
      <c r="J863" t="s">
        <v>17</v>
      </c>
      <c r="K863">
        <v>0.22</v>
      </c>
      <c r="L863" t="s">
        <v>18</v>
      </c>
      <c r="M863" t="s">
        <v>22</v>
      </c>
      <c r="N863" t="s">
        <v>52</v>
      </c>
    </row>
    <row r="864" spans="2:14" x14ac:dyDescent="0.25">
      <c r="B864" s="1">
        <v>45043</v>
      </c>
      <c r="C864" t="s">
        <v>14</v>
      </c>
      <c r="D864" t="s">
        <v>15</v>
      </c>
      <c r="E864">
        <v>717.7</v>
      </c>
      <c r="F864">
        <v>13</v>
      </c>
      <c r="G864" t="s">
        <v>29</v>
      </c>
      <c r="H864">
        <v>1645.51</v>
      </c>
      <c r="I864">
        <v>2045.53</v>
      </c>
      <c r="J864" t="s">
        <v>17</v>
      </c>
      <c r="K864">
        <v>0.28000000000000003</v>
      </c>
      <c r="L864" t="s">
        <v>18</v>
      </c>
      <c r="M864" t="s">
        <v>22</v>
      </c>
      <c r="N864" t="s">
        <v>20</v>
      </c>
    </row>
    <row r="865" spans="2:14" x14ac:dyDescent="0.25">
      <c r="B865" s="1">
        <v>45270</v>
      </c>
      <c r="C865" t="s">
        <v>38</v>
      </c>
      <c r="D865" t="s">
        <v>34</v>
      </c>
      <c r="E865">
        <v>3419.26</v>
      </c>
      <c r="F865">
        <v>28</v>
      </c>
      <c r="G865" t="s">
        <v>35</v>
      </c>
      <c r="H865">
        <v>3895.62</v>
      </c>
      <c r="I865">
        <v>4055.44</v>
      </c>
      <c r="J865" t="s">
        <v>30</v>
      </c>
      <c r="K865">
        <v>0.03</v>
      </c>
      <c r="L865" t="s">
        <v>27</v>
      </c>
      <c r="M865" t="s">
        <v>22</v>
      </c>
      <c r="N865" t="s">
        <v>48</v>
      </c>
    </row>
    <row r="866" spans="2:14" x14ac:dyDescent="0.25">
      <c r="B866" s="1">
        <v>44998</v>
      </c>
      <c r="C866" t="s">
        <v>24</v>
      </c>
      <c r="D866" t="s">
        <v>15</v>
      </c>
      <c r="E866">
        <v>763.46</v>
      </c>
      <c r="F866">
        <v>9</v>
      </c>
      <c r="G866" t="s">
        <v>29</v>
      </c>
      <c r="H866">
        <v>400.42</v>
      </c>
      <c r="I866">
        <v>446.11</v>
      </c>
      <c r="J866" t="s">
        <v>30</v>
      </c>
      <c r="K866">
        <v>0.01</v>
      </c>
      <c r="L866" t="s">
        <v>27</v>
      </c>
      <c r="M866" t="s">
        <v>22</v>
      </c>
      <c r="N866" t="s">
        <v>45</v>
      </c>
    </row>
    <row r="867" spans="2:14" x14ac:dyDescent="0.25">
      <c r="B867" s="1">
        <v>44990</v>
      </c>
      <c r="C867" t="s">
        <v>14</v>
      </c>
      <c r="D867" t="s">
        <v>15</v>
      </c>
      <c r="E867">
        <v>9755.9</v>
      </c>
      <c r="F867">
        <v>20</v>
      </c>
      <c r="G867" t="s">
        <v>35</v>
      </c>
      <c r="H867">
        <v>3318.92</v>
      </c>
      <c r="I867">
        <v>3785.91</v>
      </c>
      <c r="J867" t="s">
        <v>30</v>
      </c>
      <c r="K867">
        <v>0.24</v>
      </c>
      <c r="L867" t="s">
        <v>27</v>
      </c>
      <c r="M867" t="s">
        <v>19</v>
      </c>
      <c r="N867" t="s">
        <v>20</v>
      </c>
    </row>
    <row r="868" spans="2:14" x14ac:dyDescent="0.25">
      <c r="B868" s="1">
        <v>45131</v>
      </c>
      <c r="C868" t="s">
        <v>42</v>
      </c>
      <c r="D868" t="s">
        <v>25</v>
      </c>
      <c r="E868">
        <v>8188.04</v>
      </c>
      <c r="F868">
        <v>19</v>
      </c>
      <c r="G868" t="s">
        <v>35</v>
      </c>
      <c r="H868">
        <v>4055.51</v>
      </c>
      <c r="I868">
        <v>4258.84</v>
      </c>
      <c r="J868" t="s">
        <v>17</v>
      </c>
      <c r="K868">
        <v>0.03</v>
      </c>
      <c r="L868" t="s">
        <v>31</v>
      </c>
      <c r="M868" t="s">
        <v>19</v>
      </c>
      <c r="N868" t="s">
        <v>43</v>
      </c>
    </row>
    <row r="869" spans="2:14" x14ac:dyDescent="0.25">
      <c r="B869" s="1">
        <v>45135</v>
      </c>
      <c r="C869" t="s">
        <v>42</v>
      </c>
      <c r="D869" t="s">
        <v>34</v>
      </c>
      <c r="E869">
        <v>8540.2199999999993</v>
      </c>
      <c r="F869">
        <v>48</v>
      </c>
      <c r="G869" t="s">
        <v>26</v>
      </c>
      <c r="H869">
        <v>3380.52</v>
      </c>
      <c r="I869">
        <v>3778.94</v>
      </c>
      <c r="J869" t="s">
        <v>17</v>
      </c>
      <c r="K869">
        <v>0.3</v>
      </c>
      <c r="L869" t="s">
        <v>27</v>
      </c>
      <c r="M869" t="s">
        <v>19</v>
      </c>
      <c r="N869" t="s">
        <v>52</v>
      </c>
    </row>
    <row r="870" spans="2:14" x14ac:dyDescent="0.25">
      <c r="B870" s="1">
        <v>44998</v>
      </c>
      <c r="C870" t="s">
        <v>42</v>
      </c>
      <c r="D870" t="s">
        <v>15</v>
      </c>
      <c r="E870">
        <v>9385.86</v>
      </c>
      <c r="F870">
        <v>39</v>
      </c>
      <c r="G870" t="s">
        <v>26</v>
      </c>
      <c r="H870">
        <v>2511.2800000000002</v>
      </c>
      <c r="I870">
        <v>2658.06</v>
      </c>
      <c r="J870" t="s">
        <v>30</v>
      </c>
      <c r="K870">
        <v>0.19</v>
      </c>
      <c r="L870" t="s">
        <v>31</v>
      </c>
      <c r="M870" t="s">
        <v>22</v>
      </c>
      <c r="N870" t="s">
        <v>49</v>
      </c>
    </row>
    <row r="871" spans="2:14" x14ac:dyDescent="0.25">
      <c r="B871" s="1">
        <v>45203</v>
      </c>
      <c r="C871" t="s">
        <v>38</v>
      </c>
      <c r="D871" t="s">
        <v>34</v>
      </c>
      <c r="E871">
        <v>942.52</v>
      </c>
      <c r="F871">
        <v>12</v>
      </c>
      <c r="G871" t="s">
        <v>26</v>
      </c>
      <c r="H871">
        <v>4754.0200000000004</v>
      </c>
      <c r="I871">
        <v>5080.74</v>
      </c>
      <c r="J871" t="s">
        <v>30</v>
      </c>
      <c r="K871">
        <v>0.2</v>
      </c>
      <c r="L871" t="s">
        <v>18</v>
      </c>
      <c r="M871" t="s">
        <v>19</v>
      </c>
      <c r="N871" t="s">
        <v>48</v>
      </c>
    </row>
    <row r="872" spans="2:14" x14ac:dyDescent="0.25">
      <c r="B872" s="1">
        <v>45200</v>
      </c>
      <c r="C872" t="s">
        <v>38</v>
      </c>
      <c r="D872" t="s">
        <v>34</v>
      </c>
      <c r="E872">
        <v>3917.42</v>
      </c>
      <c r="F872">
        <v>15</v>
      </c>
      <c r="G872" t="s">
        <v>35</v>
      </c>
      <c r="H872">
        <v>1534.7</v>
      </c>
      <c r="I872">
        <v>1972.62</v>
      </c>
      <c r="J872" t="s">
        <v>17</v>
      </c>
      <c r="K872">
        <v>0.06</v>
      </c>
      <c r="L872" t="s">
        <v>31</v>
      </c>
      <c r="M872" t="s">
        <v>22</v>
      </c>
      <c r="N872" t="s">
        <v>48</v>
      </c>
    </row>
    <row r="873" spans="2:14" x14ac:dyDescent="0.25">
      <c r="B873" s="1">
        <v>45246</v>
      </c>
      <c r="C873" t="s">
        <v>14</v>
      </c>
      <c r="D873" t="s">
        <v>21</v>
      </c>
      <c r="E873">
        <v>803.25</v>
      </c>
      <c r="F873">
        <v>31</v>
      </c>
      <c r="G873" t="s">
        <v>16</v>
      </c>
      <c r="H873">
        <v>144.88</v>
      </c>
      <c r="I873">
        <v>175.29</v>
      </c>
      <c r="J873" t="s">
        <v>30</v>
      </c>
      <c r="K873">
        <v>7.0000000000000007E-2</v>
      </c>
      <c r="L873" t="s">
        <v>27</v>
      </c>
      <c r="M873" t="s">
        <v>19</v>
      </c>
      <c r="N873" t="s">
        <v>23</v>
      </c>
    </row>
    <row r="874" spans="2:14" x14ac:dyDescent="0.25">
      <c r="B874" s="1">
        <v>45264</v>
      </c>
      <c r="C874" t="s">
        <v>24</v>
      </c>
      <c r="D874" t="s">
        <v>25</v>
      </c>
      <c r="E874">
        <v>2186.85</v>
      </c>
      <c r="F874">
        <v>14</v>
      </c>
      <c r="G874" t="s">
        <v>29</v>
      </c>
      <c r="H874">
        <v>2188.35</v>
      </c>
      <c r="I874">
        <v>2605.3599999999901</v>
      </c>
      <c r="J874" t="s">
        <v>17</v>
      </c>
      <c r="K874">
        <v>0.2</v>
      </c>
      <c r="L874" t="s">
        <v>31</v>
      </c>
      <c r="M874" t="s">
        <v>22</v>
      </c>
      <c r="N874" t="s">
        <v>28</v>
      </c>
    </row>
    <row r="875" spans="2:14" x14ac:dyDescent="0.25">
      <c r="B875" s="1">
        <v>45292</v>
      </c>
      <c r="C875" t="s">
        <v>14</v>
      </c>
      <c r="D875" t="s">
        <v>25</v>
      </c>
      <c r="E875">
        <v>2370.7199999999998</v>
      </c>
      <c r="F875">
        <v>11</v>
      </c>
      <c r="G875" t="s">
        <v>29</v>
      </c>
      <c r="H875">
        <v>213.41</v>
      </c>
      <c r="I875">
        <v>503.36</v>
      </c>
      <c r="J875" t="s">
        <v>17</v>
      </c>
      <c r="K875">
        <v>0.27</v>
      </c>
      <c r="L875" t="s">
        <v>27</v>
      </c>
      <c r="M875" t="s">
        <v>19</v>
      </c>
      <c r="N875" t="s">
        <v>32</v>
      </c>
    </row>
    <row r="876" spans="2:14" x14ac:dyDescent="0.25">
      <c r="B876" s="1">
        <v>45021</v>
      </c>
      <c r="C876" t="s">
        <v>33</v>
      </c>
      <c r="D876" t="s">
        <v>25</v>
      </c>
      <c r="E876">
        <v>4744.16</v>
      </c>
      <c r="F876">
        <v>26</v>
      </c>
      <c r="G876" t="s">
        <v>29</v>
      </c>
      <c r="H876">
        <v>4771.99</v>
      </c>
      <c r="I876">
        <v>5079.6499999999996</v>
      </c>
      <c r="J876" t="s">
        <v>30</v>
      </c>
      <c r="K876">
        <v>0.28999999999999998</v>
      </c>
      <c r="L876" t="s">
        <v>31</v>
      </c>
      <c r="M876" t="s">
        <v>19</v>
      </c>
      <c r="N876" t="s">
        <v>44</v>
      </c>
    </row>
    <row r="877" spans="2:14" x14ac:dyDescent="0.25">
      <c r="B877" s="1">
        <v>45092</v>
      </c>
      <c r="C877" t="s">
        <v>42</v>
      </c>
      <c r="D877" t="s">
        <v>21</v>
      </c>
      <c r="E877">
        <v>2758.77</v>
      </c>
      <c r="F877">
        <v>42</v>
      </c>
      <c r="G877" t="s">
        <v>26</v>
      </c>
      <c r="H877">
        <v>1089.0899999999999</v>
      </c>
      <c r="I877">
        <v>1355.44</v>
      </c>
      <c r="J877" t="s">
        <v>30</v>
      </c>
      <c r="K877">
        <v>0.06</v>
      </c>
      <c r="L877" t="s">
        <v>18</v>
      </c>
      <c r="M877" t="s">
        <v>22</v>
      </c>
      <c r="N877" t="s">
        <v>51</v>
      </c>
    </row>
    <row r="878" spans="2:14" x14ac:dyDescent="0.25">
      <c r="B878" s="1">
        <v>44958</v>
      </c>
      <c r="C878" t="s">
        <v>42</v>
      </c>
      <c r="D878" t="s">
        <v>21</v>
      </c>
      <c r="E878">
        <v>1099.68</v>
      </c>
      <c r="F878">
        <v>27</v>
      </c>
      <c r="G878" t="s">
        <v>35</v>
      </c>
      <c r="H878">
        <v>3955.19</v>
      </c>
      <c r="I878">
        <v>4393.68</v>
      </c>
      <c r="J878" t="s">
        <v>17</v>
      </c>
      <c r="K878">
        <v>0.04</v>
      </c>
      <c r="L878" t="s">
        <v>31</v>
      </c>
      <c r="M878" t="s">
        <v>19</v>
      </c>
      <c r="N878" t="s">
        <v>51</v>
      </c>
    </row>
    <row r="879" spans="2:14" x14ac:dyDescent="0.25">
      <c r="B879" s="1">
        <v>44937</v>
      </c>
      <c r="C879" t="s">
        <v>42</v>
      </c>
      <c r="D879" t="s">
        <v>25</v>
      </c>
      <c r="E879">
        <v>1758.16</v>
      </c>
      <c r="F879">
        <v>11</v>
      </c>
      <c r="G879" t="s">
        <v>26</v>
      </c>
      <c r="H879">
        <v>3884.13</v>
      </c>
      <c r="I879">
        <v>3915.41</v>
      </c>
      <c r="J879" t="s">
        <v>17</v>
      </c>
      <c r="K879">
        <v>0.02</v>
      </c>
      <c r="L879" t="s">
        <v>18</v>
      </c>
      <c r="M879" t="s">
        <v>19</v>
      </c>
      <c r="N879" t="s">
        <v>43</v>
      </c>
    </row>
    <row r="880" spans="2:14" x14ac:dyDescent="0.25">
      <c r="B880" s="1">
        <v>45227</v>
      </c>
      <c r="C880" t="s">
        <v>14</v>
      </c>
      <c r="D880" t="s">
        <v>21</v>
      </c>
      <c r="E880">
        <v>1558.03</v>
      </c>
      <c r="F880">
        <v>38</v>
      </c>
      <c r="G880" t="s">
        <v>16</v>
      </c>
      <c r="H880">
        <v>1127.76</v>
      </c>
      <c r="I880">
        <v>1265.6600000000001</v>
      </c>
      <c r="J880" t="s">
        <v>17</v>
      </c>
      <c r="K880">
        <v>0.26</v>
      </c>
      <c r="L880" t="s">
        <v>27</v>
      </c>
      <c r="M880" t="s">
        <v>22</v>
      </c>
      <c r="N880" t="s">
        <v>23</v>
      </c>
    </row>
    <row r="881" spans="2:14" x14ac:dyDescent="0.25">
      <c r="B881" s="1">
        <v>45143</v>
      </c>
      <c r="C881" t="s">
        <v>14</v>
      </c>
      <c r="D881" t="s">
        <v>21</v>
      </c>
      <c r="E881">
        <v>9733.4599999999991</v>
      </c>
      <c r="F881">
        <v>34</v>
      </c>
      <c r="G881" t="s">
        <v>35</v>
      </c>
      <c r="H881">
        <v>3125.07</v>
      </c>
      <c r="I881">
        <v>3564.19</v>
      </c>
      <c r="J881" t="s">
        <v>17</v>
      </c>
      <c r="K881">
        <v>0.09</v>
      </c>
      <c r="L881" t="s">
        <v>18</v>
      </c>
      <c r="M881" t="s">
        <v>19</v>
      </c>
      <c r="N881" t="s">
        <v>23</v>
      </c>
    </row>
    <row r="882" spans="2:14" x14ac:dyDescent="0.25">
      <c r="B882" s="1">
        <v>45215</v>
      </c>
      <c r="C882" t="s">
        <v>42</v>
      </c>
      <c r="D882" t="s">
        <v>21</v>
      </c>
      <c r="E882">
        <v>7617</v>
      </c>
      <c r="F882">
        <v>43</v>
      </c>
      <c r="G882" t="s">
        <v>29</v>
      </c>
      <c r="H882">
        <v>287.99</v>
      </c>
      <c r="I882">
        <v>666.64</v>
      </c>
      <c r="J882" t="s">
        <v>17</v>
      </c>
      <c r="K882">
        <v>0</v>
      </c>
      <c r="L882" t="s">
        <v>27</v>
      </c>
      <c r="M882" t="s">
        <v>19</v>
      </c>
      <c r="N882" t="s">
        <v>51</v>
      </c>
    </row>
    <row r="883" spans="2:14" x14ac:dyDescent="0.25">
      <c r="B883" s="1">
        <v>45028</v>
      </c>
      <c r="C883" t="s">
        <v>14</v>
      </c>
      <c r="D883" t="s">
        <v>25</v>
      </c>
      <c r="E883">
        <v>9680.84</v>
      </c>
      <c r="F883">
        <v>19</v>
      </c>
      <c r="G883" t="s">
        <v>26</v>
      </c>
      <c r="H883">
        <v>2443.69</v>
      </c>
      <c r="I883">
        <v>2462.34</v>
      </c>
      <c r="J883" t="s">
        <v>30</v>
      </c>
      <c r="K883">
        <v>7.0000000000000007E-2</v>
      </c>
      <c r="L883" t="s">
        <v>27</v>
      </c>
      <c r="M883" t="s">
        <v>22</v>
      </c>
      <c r="N883" t="s">
        <v>32</v>
      </c>
    </row>
    <row r="884" spans="2:14" x14ac:dyDescent="0.25">
      <c r="B884" s="1">
        <v>45193</v>
      </c>
      <c r="C884" t="s">
        <v>38</v>
      </c>
      <c r="D884" t="s">
        <v>25</v>
      </c>
      <c r="E884">
        <v>4453.43</v>
      </c>
      <c r="F884">
        <v>6</v>
      </c>
      <c r="G884" t="s">
        <v>26</v>
      </c>
      <c r="H884">
        <v>122.5</v>
      </c>
      <c r="I884">
        <v>385.83</v>
      </c>
      <c r="J884" t="s">
        <v>17</v>
      </c>
      <c r="K884">
        <v>0.1</v>
      </c>
      <c r="L884" t="s">
        <v>18</v>
      </c>
      <c r="M884" t="s">
        <v>22</v>
      </c>
      <c r="N884" t="s">
        <v>39</v>
      </c>
    </row>
    <row r="885" spans="2:14" x14ac:dyDescent="0.25">
      <c r="B885" s="1">
        <v>45140</v>
      </c>
      <c r="C885" t="s">
        <v>38</v>
      </c>
      <c r="D885" t="s">
        <v>25</v>
      </c>
      <c r="E885">
        <v>2855.85</v>
      </c>
      <c r="F885">
        <v>46</v>
      </c>
      <c r="G885" t="s">
        <v>16</v>
      </c>
      <c r="H885">
        <v>4609.66</v>
      </c>
      <c r="I885">
        <v>4879.1499999999996</v>
      </c>
      <c r="J885" t="s">
        <v>17</v>
      </c>
      <c r="K885">
        <v>0.3</v>
      </c>
      <c r="L885" t="s">
        <v>18</v>
      </c>
      <c r="M885" t="s">
        <v>22</v>
      </c>
      <c r="N885" t="s">
        <v>39</v>
      </c>
    </row>
    <row r="886" spans="2:14" x14ac:dyDescent="0.25">
      <c r="B886" s="1">
        <v>45105</v>
      </c>
      <c r="C886" t="s">
        <v>14</v>
      </c>
      <c r="D886" t="s">
        <v>21</v>
      </c>
      <c r="E886">
        <v>8003.1</v>
      </c>
      <c r="F886">
        <v>38</v>
      </c>
      <c r="G886" t="s">
        <v>16</v>
      </c>
      <c r="H886">
        <v>4881.63</v>
      </c>
      <c r="I886">
        <v>5088.0600000000004</v>
      </c>
      <c r="J886" t="s">
        <v>17</v>
      </c>
      <c r="K886">
        <v>0.16</v>
      </c>
      <c r="L886" t="s">
        <v>31</v>
      </c>
      <c r="M886" t="s">
        <v>22</v>
      </c>
      <c r="N886" t="s">
        <v>23</v>
      </c>
    </row>
    <row r="887" spans="2:14" x14ac:dyDescent="0.25">
      <c r="B887" s="1">
        <v>45014</v>
      </c>
      <c r="C887" t="s">
        <v>42</v>
      </c>
      <c r="D887" t="s">
        <v>25</v>
      </c>
      <c r="E887">
        <v>3329.91</v>
      </c>
      <c r="F887">
        <v>49</v>
      </c>
      <c r="G887" t="s">
        <v>26</v>
      </c>
      <c r="H887">
        <v>1150.3</v>
      </c>
      <c r="I887">
        <v>1306.02</v>
      </c>
      <c r="J887" t="s">
        <v>30</v>
      </c>
      <c r="K887">
        <v>0.06</v>
      </c>
      <c r="L887" t="s">
        <v>31</v>
      </c>
      <c r="M887" t="s">
        <v>22</v>
      </c>
      <c r="N887" t="s">
        <v>43</v>
      </c>
    </row>
    <row r="888" spans="2:14" x14ac:dyDescent="0.25">
      <c r="B888" s="1">
        <v>44967</v>
      </c>
      <c r="C888" t="s">
        <v>14</v>
      </c>
      <c r="D888" t="s">
        <v>21</v>
      </c>
      <c r="E888">
        <v>3063.9</v>
      </c>
      <c r="F888">
        <v>42</v>
      </c>
      <c r="G888" t="s">
        <v>16</v>
      </c>
      <c r="H888">
        <v>1080.1199999999999</v>
      </c>
      <c r="I888">
        <v>1424.1699999999901</v>
      </c>
      <c r="J888" t="s">
        <v>30</v>
      </c>
      <c r="K888">
        <v>0.1</v>
      </c>
      <c r="L888" t="s">
        <v>18</v>
      </c>
      <c r="M888" t="s">
        <v>19</v>
      </c>
      <c r="N888" t="s">
        <v>23</v>
      </c>
    </row>
    <row r="889" spans="2:14" x14ac:dyDescent="0.25">
      <c r="B889" s="1">
        <v>45002</v>
      </c>
      <c r="C889" t="s">
        <v>14</v>
      </c>
      <c r="D889" t="s">
        <v>15</v>
      </c>
      <c r="E889">
        <v>2401.81</v>
      </c>
      <c r="F889">
        <v>28</v>
      </c>
      <c r="G889" t="s">
        <v>29</v>
      </c>
      <c r="H889">
        <v>3780.91</v>
      </c>
      <c r="I889">
        <v>3892.73</v>
      </c>
      <c r="J889" t="s">
        <v>17</v>
      </c>
      <c r="K889">
        <v>0.1</v>
      </c>
      <c r="L889" t="s">
        <v>18</v>
      </c>
      <c r="M889" t="s">
        <v>22</v>
      </c>
      <c r="N889" t="s">
        <v>20</v>
      </c>
    </row>
    <row r="890" spans="2:14" x14ac:dyDescent="0.25">
      <c r="B890" s="1">
        <v>44972</v>
      </c>
      <c r="C890" t="s">
        <v>14</v>
      </c>
      <c r="D890" t="s">
        <v>21</v>
      </c>
      <c r="E890">
        <v>1383.82</v>
      </c>
      <c r="F890">
        <v>1</v>
      </c>
      <c r="G890" t="s">
        <v>16</v>
      </c>
      <c r="H890">
        <v>1304.23</v>
      </c>
      <c r="I890">
        <v>1705.71</v>
      </c>
      <c r="J890" t="s">
        <v>17</v>
      </c>
      <c r="K890">
        <v>0.01</v>
      </c>
      <c r="L890" t="s">
        <v>18</v>
      </c>
      <c r="M890" t="s">
        <v>22</v>
      </c>
      <c r="N890" t="s">
        <v>23</v>
      </c>
    </row>
    <row r="891" spans="2:14" x14ac:dyDescent="0.25">
      <c r="B891" s="1">
        <v>45086</v>
      </c>
      <c r="C891" t="s">
        <v>33</v>
      </c>
      <c r="D891" t="s">
        <v>34</v>
      </c>
      <c r="E891">
        <v>2638.98</v>
      </c>
      <c r="F891">
        <v>35</v>
      </c>
      <c r="G891" t="s">
        <v>16</v>
      </c>
      <c r="H891">
        <v>4480.63</v>
      </c>
      <c r="I891">
        <v>4884.12</v>
      </c>
      <c r="J891" t="s">
        <v>30</v>
      </c>
      <c r="K891">
        <v>0.04</v>
      </c>
      <c r="L891" t="s">
        <v>18</v>
      </c>
      <c r="M891" t="s">
        <v>19</v>
      </c>
      <c r="N891" t="s">
        <v>36</v>
      </c>
    </row>
    <row r="892" spans="2:14" x14ac:dyDescent="0.25">
      <c r="B892" s="1">
        <v>45006</v>
      </c>
      <c r="C892" t="s">
        <v>38</v>
      </c>
      <c r="D892" t="s">
        <v>25</v>
      </c>
      <c r="E892">
        <v>3617.67</v>
      </c>
      <c r="F892">
        <v>40</v>
      </c>
      <c r="G892" t="s">
        <v>26</v>
      </c>
      <c r="H892">
        <v>2890.95</v>
      </c>
      <c r="I892">
        <v>3104.43</v>
      </c>
      <c r="J892" t="s">
        <v>30</v>
      </c>
      <c r="K892">
        <v>0.21</v>
      </c>
      <c r="L892" t="s">
        <v>27</v>
      </c>
      <c r="M892" t="s">
        <v>19</v>
      </c>
      <c r="N892" t="s">
        <v>39</v>
      </c>
    </row>
    <row r="893" spans="2:14" x14ac:dyDescent="0.25">
      <c r="B893" s="1">
        <v>45236</v>
      </c>
      <c r="C893" t="s">
        <v>24</v>
      </c>
      <c r="D893" t="s">
        <v>25</v>
      </c>
      <c r="E893">
        <v>6772.54</v>
      </c>
      <c r="F893">
        <v>8</v>
      </c>
      <c r="G893" t="s">
        <v>26</v>
      </c>
      <c r="H893">
        <v>1786.35</v>
      </c>
      <c r="I893">
        <v>1935.29</v>
      </c>
      <c r="J893" t="s">
        <v>30</v>
      </c>
      <c r="K893">
        <v>0.04</v>
      </c>
      <c r="L893" t="s">
        <v>18</v>
      </c>
      <c r="M893" t="s">
        <v>19</v>
      </c>
      <c r="N893" t="s">
        <v>28</v>
      </c>
    </row>
    <row r="894" spans="2:14" x14ac:dyDescent="0.25">
      <c r="B894" s="1">
        <v>45012</v>
      </c>
      <c r="C894" t="s">
        <v>24</v>
      </c>
      <c r="D894" t="s">
        <v>34</v>
      </c>
      <c r="E894">
        <v>719.39</v>
      </c>
      <c r="F894">
        <v>47</v>
      </c>
      <c r="G894" t="s">
        <v>35</v>
      </c>
      <c r="H894">
        <v>4171.83</v>
      </c>
      <c r="I894">
        <v>4320.93</v>
      </c>
      <c r="J894" t="s">
        <v>30</v>
      </c>
      <c r="K894">
        <v>7.0000000000000007E-2</v>
      </c>
      <c r="L894" t="s">
        <v>18</v>
      </c>
      <c r="M894" t="s">
        <v>19</v>
      </c>
      <c r="N894" t="s">
        <v>50</v>
      </c>
    </row>
    <row r="895" spans="2:14" x14ac:dyDescent="0.25">
      <c r="B895" s="1">
        <v>45018</v>
      </c>
      <c r="C895" t="s">
        <v>33</v>
      </c>
      <c r="D895" t="s">
        <v>21</v>
      </c>
      <c r="E895">
        <v>2184.02</v>
      </c>
      <c r="F895">
        <v>7</v>
      </c>
      <c r="G895" t="s">
        <v>35</v>
      </c>
      <c r="H895">
        <v>2492.36</v>
      </c>
      <c r="I895">
        <v>2738.68</v>
      </c>
      <c r="J895" t="s">
        <v>17</v>
      </c>
      <c r="K895">
        <v>0.11</v>
      </c>
      <c r="L895" t="s">
        <v>18</v>
      </c>
      <c r="M895" t="s">
        <v>19</v>
      </c>
      <c r="N895" t="s">
        <v>37</v>
      </c>
    </row>
    <row r="896" spans="2:14" x14ac:dyDescent="0.25">
      <c r="B896" s="1">
        <v>45074</v>
      </c>
      <c r="C896" t="s">
        <v>14</v>
      </c>
      <c r="D896" t="s">
        <v>15</v>
      </c>
      <c r="E896">
        <v>8109.33</v>
      </c>
      <c r="F896">
        <v>11</v>
      </c>
      <c r="G896" t="s">
        <v>26</v>
      </c>
      <c r="H896">
        <v>4562.58</v>
      </c>
      <c r="I896">
        <v>4925.17</v>
      </c>
      <c r="J896" t="s">
        <v>30</v>
      </c>
      <c r="K896">
        <v>0.23</v>
      </c>
      <c r="L896" t="s">
        <v>18</v>
      </c>
      <c r="M896" t="s">
        <v>22</v>
      </c>
      <c r="N896" t="s">
        <v>20</v>
      </c>
    </row>
    <row r="897" spans="2:14" x14ac:dyDescent="0.25">
      <c r="B897" s="1">
        <v>45087</v>
      </c>
      <c r="C897" t="s">
        <v>33</v>
      </c>
      <c r="D897" t="s">
        <v>34</v>
      </c>
      <c r="E897">
        <v>1554.53</v>
      </c>
      <c r="F897">
        <v>39</v>
      </c>
      <c r="G897" t="s">
        <v>16</v>
      </c>
      <c r="H897">
        <v>4643.67</v>
      </c>
      <c r="I897">
        <v>4829.5200000000004</v>
      </c>
      <c r="J897" t="s">
        <v>17</v>
      </c>
      <c r="K897">
        <v>0.17</v>
      </c>
      <c r="L897" t="s">
        <v>27</v>
      </c>
      <c r="M897" t="s">
        <v>19</v>
      </c>
      <c r="N897" t="s">
        <v>36</v>
      </c>
    </row>
    <row r="898" spans="2:14" x14ac:dyDescent="0.25">
      <c r="B898" s="1">
        <v>45128</v>
      </c>
      <c r="C898" t="s">
        <v>33</v>
      </c>
      <c r="D898" t="s">
        <v>34</v>
      </c>
      <c r="E898">
        <v>3492.19</v>
      </c>
      <c r="F898">
        <v>4</v>
      </c>
      <c r="G898" t="s">
        <v>16</v>
      </c>
      <c r="H898">
        <v>868.83</v>
      </c>
      <c r="I898">
        <v>1177.75</v>
      </c>
      <c r="J898" t="s">
        <v>17</v>
      </c>
      <c r="K898">
        <v>0.21</v>
      </c>
      <c r="L898" t="s">
        <v>31</v>
      </c>
      <c r="M898" t="s">
        <v>22</v>
      </c>
      <c r="N898" t="s">
        <v>36</v>
      </c>
    </row>
    <row r="899" spans="2:14" x14ac:dyDescent="0.25">
      <c r="B899" s="1">
        <v>45168</v>
      </c>
      <c r="C899" t="s">
        <v>42</v>
      </c>
      <c r="D899" t="s">
        <v>21</v>
      </c>
      <c r="E899">
        <v>8660.1200000000008</v>
      </c>
      <c r="F899">
        <v>25</v>
      </c>
      <c r="G899" t="s">
        <v>35</v>
      </c>
      <c r="H899">
        <v>61.5</v>
      </c>
      <c r="I899">
        <v>258.91999999999899</v>
      </c>
      <c r="J899" t="s">
        <v>30</v>
      </c>
      <c r="K899">
        <v>0.17</v>
      </c>
      <c r="L899" t="s">
        <v>31</v>
      </c>
      <c r="M899" t="s">
        <v>19</v>
      </c>
      <c r="N899" t="s">
        <v>51</v>
      </c>
    </row>
    <row r="900" spans="2:14" x14ac:dyDescent="0.25">
      <c r="B900" s="1">
        <v>45279</v>
      </c>
      <c r="C900" t="s">
        <v>38</v>
      </c>
      <c r="D900" t="s">
        <v>25</v>
      </c>
      <c r="E900">
        <v>1633.76</v>
      </c>
      <c r="F900">
        <v>12</v>
      </c>
      <c r="G900" t="s">
        <v>35</v>
      </c>
      <c r="H900">
        <v>4920.46</v>
      </c>
      <c r="I900">
        <v>5079.68</v>
      </c>
      <c r="J900" t="s">
        <v>30</v>
      </c>
      <c r="K900">
        <v>0.21</v>
      </c>
      <c r="L900" t="s">
        <v>31</v>
      </c>
      <c r="M900" t="s">
        <v>22</v>
      </c>
      <c r="N900" t="s">
        <v>39</v>
      </c>
    </row>
    <row r="901" spans="2:14" x14ac:dyDescent="0.25">
      <c r="B901" s="1">
        <v>44928</v>
      </c>
      <c r="C901" t="s">
        <v>24</v>
      </c>
      <c r="D901" t="s">
        <v>21</v>
      </c>
      <c r="E901">
        <v>919.09</v>
      </c>
      <c r="F901">
        <v>26</v>
      </c>
      <c r="G901" t="s">
        <v>35</v>
      </c>
      <c r="H901">
        <v>4535.38</v>
      </c>
      <c r="I901">
        <v>4557.5600000000004</v>
      </c>
      <c r="J901" t="s">
        <v>30</v>
      </c>
      <c r="K901">
        <v>0</v>
      </c>
      <c r="L901" t="s">
        <v>31</v>
      </c>
      <c r="M901" t="s">
        <v>19</v>
      </c>
      <c r="N901" t="s">
        <v>47</v>
      </c>
    </row>
    <row r="902" spans="2:14" x14ac:dyDescent="0.25">
      <c r="B902" s="1">
        <v>45151</v>
      </c>
      <c r="C902" t="s">
        <v>14</v>
      </c>
      <c r="D902" t="s">
        <v>34</v>
      </c>
      <c r="E902">
        <v>4896.93</v>
      </c>
      <c r="F902">
        <v>38</v>
      </c>
      <c r="G902" t="s">
        <v>29</v>
      </c>
      <c r="H902">
        <v>324.45</v>
      </c>
      <c r="I902">
        <v>336.37</v>
      </c>
      <c r="J902" t="s">
        <v>30</v>
      </c>
      <c r="K902">
        <v>0.28000000000000003</v>
      </c>
      <c r="L902" t="s">
        <v>31</v>
      </c>
      <c r="M902" t="s">
        <v>22</v>
      </c>
      <c r="N902" t="s">
        <v>46</v>
      </c>
    </row>
    <row r="903" spans="2:14" x14ac:dyDescent="0.25">
      <c r="B903" s="1">
        <v>45215</v>
      </c>
      <c r="C903" t="s">
        <v>24</v>
      </c>
      <c r="D903" t="s">
        <v>34</v>
      </c>
      <c r="E903">
        <v>3093.95</v>
      </c>
      <c r="F903">
        <v>46</v>
      </c>
      <c r="G903" t="s">
        <v>29</v>
      </c>
      <c r="H903">
        <v>4173.5200000000004</v>
      </c>
      <c r="I903">
        <v>4294.8500000000004</v>
      </c>
      <c r="J903" t="s">
        <v>17</v>
      </c>
      <c r="K903">
        <v>0.03</v>
      </c>
      <c r="L903" t="s">
        <v>27</v>
      </c>
      <c r="M903" t="s">
        <v>22</v>
      </c>
      <c r="N903" t="s">
        <v>50</v>
      </c>
    </row>
    <row r="904" spans="2:14" x14ac:dyDescent="0.25">
      <c r="B904" s="1">
        <v>45159</v>
      </c>
      <c r="C904" t="s">
        <v>24</v>
      </c>
      <c r="D904" t="s">
        <v>25</v>
      </c>
      <c r="E904">
        <v>5677.74</v>
      </c>
      <c r="F904">
        <v>12</v>
      </c>
      <c r="G904" t="s">
        <v>35</v>
      </c>
      <c r="H904">
        <v>2316.13</v>
      </c>
      <c r="I904">
        <v>2525.27</v>
      </c>
      <c r="J904" t="s">
        <v>17</v>
      </c>
      <c r="K904">
        <v>0.12</v>
      </c>
      <c r="L904" t="s">
        <v>31</v>
      </c>
      <c r="M904" t="s">
        <v>22</v>
      </c>
      <c r="N904" t="s">
        <v>28</v>
      </c>
    </row>
    <row r="905" spans="2:14" x14ac:dyDescent="0.25">
      <c r="B905" s="1">
        <v>45003</v>
      </c>
      <c r="C905" t="s">
        <v>38</v>
      </c>
      <c r="D905" t="s">
        <v>25</v>
      </c>
      <c r="E905">
        <v>8057.67</v>
      </c>
      <c r="F905">
        <v>43</v>
      </c>
      <c r="G905" t="s">
        <v>16</v>
      </c>
      <c r="H905">
        <v>1331.86</v>
      </c>
      <c r="I905">
        <v>1758.98</v>
      </c>
      <c r="J905" t="s">
        <v>17</v>
      </c>
      <c r="K905">
        <v>0.23</v>
      </c>
      <c r="L905" t="s">
        <v>27</v>
      </c>
      <c r="M905" t="s">
        <v>22</v>
      </c>
      <c r="N905" t="s">
        <v>39</v>
      </c>
    </row>
    <row r="906" spans="2:14" x14ac:dyDescent="0.25">
      <c r="B906" s="1">
        <v>45042</v>
      </c>
      <c r="C906" t="s">
        <v>24</v>
      </c>
      <c r="D906" t="s">
        <v>25</v>
      </c>
      <c r="E906">
        <v>1457.77</v>
      </c>
      <c r="F906">
        <v>37</v>
      </c>
      <c r="G906" t="s">
        <v>35</v>
      </c>
      <c r="H906">
        <v>4399.8</v>
      </c>
      <c r="I906">
        <v>4801.0600000000004</v>
      </c>
      <c r="J906" t="s">
        <v>30</v>
      </c>
      <c r="K906">
        <v>0.13</v>
      </c>
      <c r="L906" t="s">
        <v>27</v>
      </c>
      <c r="M906" t="s">
        <v>22</v>
      </c>
      <c r="N906" t="s">
        <v>28</v>
      </c>
    </row>
    <row r="907" spans="2:14" x14ac:dyDescent="0.25">
      <c r="B907" s="1">
        <v>45080</v>
      </c>
      <c r="C907" t="s">
        <v>24</v>
      </c>
      <c r="D907" t="s">
        <v>21</v>
      </c>
      <c r="E907">
        <v>5848.92</v>
      </c>
      <c r="F907">
        <v>46</v>
      </c>
      <c r="G907" t="s">
        <v>29</v>
      </c>
      <c r="H907">
        <v>1023.5</v>
      </c>
      <c r="I907">
        <v>1164.4100000000001</v>
      </c>
      <c r="J907" t="s">
        <v>17</v>
      </c>
      <c r="K907">
        <v>0.28000000000000003</v>
      </c>
      <c r="L907" t="s">
        <v>31</v>
      </c>
      <c r="M907" t="s">
        <v>22</v>
      </c>
      <c r="N907" t="s">
        <v>47</v>
      </c>
    </row>
    <row r="908" spans="2:14" x14ac:dyDescent="0.25">
      <c r="B908" s="1">
        <v>45029</v>
      </c>
      <c r="C908" t="s">
        <v>33</v>
      </c>
      <c r="D908" t="s">
        <v>25</v>
      </c>
      <c r="E908">
        <v>5104.54</v>
      </c>
      <c r="F908">
        <v>24</v>
      </c>
      <c r="G908" t="s">
        <v>16</v>
      </c>
      <c r="H908">
        <v>4739.13</v>
      </c>
      <c r="I908">
        <v>4868.95</v>
      </c>
      <c r="J908" t="s">
        <v>30</v>
      </c>
      <c r="K908">
        <v>0.14000000000000001</v>
      </c>
      <c r="L908" t="s">
        <v>31</v>
      </c>
      <c r="M908" t="s">
        <v>22</v>
      </c>
      <c r="N908" t="s">
        <v>44</v>
      </c>
    </row>
    <row r="909" spans="2:14" x14ac:dyDescent="0.25">
      <c r="B909" s="1">
        <v>45120</v>
      </c>
      <c r="C909" t="s">
        <v>38</v>
      </c>
      <c r="D909" t="s">
        <v>34</v>
      </c>
      <c r="E909">
        <v>1526.38</v>
      </c>
      <c r="F909">
        <v>16</v>
      </c>
      <c r="G909" t="s">
        <v>29</v>
      </c>
      <c r="H909">
        <v>1067.83</v>
      </c>
      <c r="I909">
        <v>1189.22</v>
      </c>
      <c r="J909" t="s">
        <v>17</v>
      </c>
      <c r="K909">
        <v>0.26</v>
      </c>
      <c r="L909" t="s">
        <v>31</v>
      </c>
      <c r="M909" t="s">
        <v>22</v>
      </c>
      <c r="N909" t="s">
        <v>48</v>
      </c>
    </row>
    <row r="910" spans="2:14" x14ac:dyDescent="0.25">
      <c r="B910" s="1">
        <v>45092</v>
      </c>
      <c r="C910" t="s">
        <v>42</v>
      </c>
      <c r="D910" t="s">
        <v>34</v>
      </c>
      <c r="E910">
        <v>6277.59</v>
      </c>
      <c r="F910">
        <v>13</v>
      </c>
      <c r="G910" t="s">
        <v>16</v>
      </c>
      <c r="H910">
        <v>3087.73</v>
      </c>
      <c r="I910">
        <v>3263.96</v>
      </c>
      <c r="J910" t="s">
        <v>30</v>
      </c>
      <c r="K910">
        <v>0.24</v>
      </c>
      <c r="L910" t="s">
        <v>18</v>
      </c>
      <c r="M910" t="s">
        <v>22</v>
      </c>
      <c r="N910" t="s">
        <v>52</v>
      </c>
    </row>
    <row r="911" spans="2:14" x14ac:dyDescent="0.25">
      <c r="B911" s="1">
        <v>45285</v>
      </c>
      <c r="C911" t="s">
        <v>14</v>
      </c>
      <c r="D911" t="s">
        <v>15</v>
      </c>
      <c r="E911">
        <v>2809.04</v>
      </c>
      <c r="F911">
        <v>25</v>
      </c>
      <c r="G911" t="s">
        <v>29</v>
      </c>
      <c r="H911">
        <v>1154.28</v>
      </c>
      <c r="I911">
        <v>1408.4</v>
      </c>
      <c r="J911" t="s">
        <v>17</v>
      </c>
      <c r="K911">
        <v>0.28999999999999998</v>
      </c>
      <c r="L911" t="s">
        <v>27</v>
      </c>
      <c r="M911" t="s">
        <v>22</v>
      </c>
      <c r="N911" t="s">
        <v>20</v>
      </c>
    </row>
    <row r="912" spans="2:14" x14ac:dyDescent="0.25">
      <c r="B912" s="1">
        <v>45016</v>
      </c>
      <c r="C912" t="s">
        <v>24</v>
      </c>
      <c r="D912" t="s">
        <v>21</v>
      </c>
      <c r="E912">
        <v>4929.5600000000004</v>
      </c>
      <c r="F912">
        <v>4</v>
      </c>
      <c r="G912" t="s">
        <v>16</v>
      </c>
      <c r="H912">
        <v>2751.06</v>
      </c>
      <c r="I912">
        <v>2976.0099999999902</v>
      </c>
      <c r="J912" t="s">
        <v>17</v>
      </c>
      <c r="K912">
        <v>0.28000000000000003</v>
      </c>
      <c r="L912" t="s">
        <v>31</v>
      </c>
      <c r="M912" t="s">
        <v>19</v>
      </c>
      <c r="N912" t="s">
        <v>47</v>
      </c>
    </row>
    <row r="913" spans="2:14" x14ac:dyDescent="0.25">
      <c r="B913" s="1">
        <v>45100</v>
      </c>
      <c r="C913" t="s">
        <v>14</v>
      </c>
      <c r="D913" t="s">
        <v>15</v>
      </c>
      <c r="E913">
        <v>914.5</v>
      </c>
      <c r="F913">
        <v>11</v>
      </c>
      <c r="G913" t="s">
        <v>16</v>
      </c>
      <c r="H913">
        <v>3435.68</v>
      </c>
      <c r="I913">
        <v>3552.6299999999901</v>
      </c>
      <c r="J913" t="s">
        <v>30</v>
      </c>
      <c r="K913">
        <v>0.27</v>
      </c>
      <c r="L913" t="s">
        <v>18</v>
      </c>
      <c r="M913" t="s">
        <v>22</v>
      </c>
      <c r="N913" t="s">
        <v>20</v>
      </c>
    </row>
    <row r="914" spans="2:14" x14ac:dyDescent="0.25">
      <c r="B914" s="1">
        <v>45048</v>
      </c>
      <c r="C914" t="s">
        <v>42</v>
      </c>
      <c r="D914" t="s">
        <v>34</v>
      </c>
      <c r="E914">
        <v>4649.88</v>
      </c>
      <c r="F914">
        <v>32</v>
      </c>
      <c r="G914" t="s">
        <v>16</v>
      </c>
      <c r="H914">
        <v>991.63</v>
      </c>
      <c r="I914">
        <v>1065.55</v>
      </c>
      <c r="J914" t="s">
        <v>17</v>
      </c>
      <c r="K914">
        <v>0.22</v>
      </c>
      <c r="L914" t="s">
        <v>27</v>
      </c>
      <c r="M914" t="s">
        <v>22</v>
      </c>
      <c r="N914" t="s">
        <v>52</v>
      </c>
    </row>
    <row r="915" spans="2:14" x14ac:dyDescent="0.25">
      <c r="B915" s="1">
        <v>45069</v>
      </c>
      <c r="C915" t="s">
        <v>14</v>
      </c>
      <c r="D915" t="s">
        <v>15</v>
      </c>
      <c r="E915">
        <v>3133.99</v>
      </c>
      <c r="F915">
        <v>49</v>
      </c>
      <c r="G915" t="s">
        <v>16</v>
      </c>
      <c r="H915">
        <v>2628.38</v>
      </c>
      <c r="I915">
        <v>2644.54</v>
      </c>
      <c r="J915" t="s">
        <v>17</v>
      </c>
      <c r="K915">
        <v>0.11</v>
      </c>
      <c r="L915" t="s">
        <v>18</v>
      </c>
      <c r="M915" t="s">
        <v>19</v>
      </c>
      <c r="N915" t="s">
        <v>20</v>
      </c>
    </row>
    <row r="916" spans="2:14" x14ac:dyDescent="0.25">
      <c r="B916" s="1">
        <v>45032</v>
      </c>
      <c r="C916" t="s">
        <v>42</v>
      </c>
      <c r="D916" t="s">
        <v>34</v>
      </c>
      <c r="E916">
        <v>8241.57</v>
      </c>
      <c r="F916">
        <v>7</v>
      </c>
      <c r="G916" t="s">
        <v>26</v>
      </c>
      <c r="H916">
        <v>2371.85</v>
      </c>
      <c r="I916">
        <v>2457.29</v>
      </c>
      <c r="J916" t="s">
        <v>30</v>
      </c>
      <c r="K916">
        <v>0.03</v>
      </c>
      <c r="L916" t="s">
        <v>18</v>
      </c>
      <c r="M916" t="s">
        <v>22</v>
      </c>
      <c r="N916" t="s">
        <v>52</v>
      </c>
    </row>
    <row r="917" spans="2:14" x14ac:dyDescent="0.25">
      <c r="B917" s="1">
        <v>45231</v>
      </c>
      <c r="C917" t="s">
        <v>33</v>
      </c>
      <c r="D917" t="s">
        <v>15</v>
      </c>
      <c r="E917">
        <v>664.09</v>
      </c>
      <c r="F917">
        <v>46</v>
      </c>
      <c r="G917" t="s">
        <v>29</v>
      </c>
      <c r="H917">
        <v>401.64</v>
      </c>
      <c r="I917">
        <v>757.26</v>
      </c>
      <c r="J917" t="s">
        <v>30</v>
      </c>
      <c r="K917">
        <v>0.21</v>
      </c>
      <c r="L917" t="s">
        <v>31</v>
      </c>
      <c r="M917" t="s">
        <v>22</v>
      </c>
      <c r="N917" t="s">
        <v>53</v>
      </c>
    </row>
    <row r="918" spans="2:14" x14ac:dyDescent="0.25">
      <c r="B918" s="1">
        <v>45286</v>
      </c>
      <c r="C918" t="s">
        <v>24</v>
      </c>
      <c r="D918" t="s">
        <v>25</v>
      </c>
      <c r="E918">
        <v>4244.21</v>
      </c>
      <c r="F918">
        <v>11</v>
      </c>
      <c r="G918" t="s">
        <v>29</v>
      </c>
      <c r="H918">
        <v>4100.62</v>
      </c>
      <c r="I918">
        <v>4230</v>
      </c>
      <c r="J918" t="s">
        <v>30</v>
      </c>
      <c r="K918">
        <v>0.28999999999999998</v>
      </c>
      <c r="L918" t="s">
        <v>27</v>
      </c>
      <c r="M918" t="s">
        <v>19</v>
      </c>
      <c r="N918" t="s">
        <v>28</v>
      </c>
    </row>
    <row r="919" spans="2:14" x14ac:dyDescent="0.25">
      <c r="B919" s="1">
        <v>45243</v>
      </c>
      <c r="C919" t="s">
        <v>42</v>
      </c>
      <c r="D919" t="s">
        <v>15</v>
      </c>
      <c r="E919">
        <v>4638.47</v>
      </c>
      <c r="F919">
        <v>28</v>
      </c>
      <c r="G919" t="s">
        <v>26</v>
      </c>
      <c r="H919">
        <v>1711.63</v>
      </c>
      <c r="I919">
        <v>1951.24</v>
      </c>
      <c r="J919" t="s">
        <v>30</v>
      </c>
      <c r="K919">
        <v>0.22</v>
      </c>
      <c r="L919" t="s">
        <v>18</v>
      </c>
      <c r="M919" t="s">
        <v>19</v>
      </c>
      <c r="N919" t="s">
        <v>49</v>
      </c>
    </row>
    <row r="920" spans="2:14" x14ac:dyDescent="0.25">
      <c r="B920" s="1">
        <v>45049</v>
      </c>
      <c r="C920" t="s">
        <v>14</v>
      </c>
      <c r="D920" t="s">
        <v>25</v>
      </c>
      <c r="E920">
        <v>7277.56</v>
      </c>
      <c r="F920">
        <v>41</v>
      </c>
      <c r="G920" t="s">
        <v>16</v>
      </c>
      <c r="H920">
        <v>2894.18</v>
      </c>
      <c r="I920">
        <v>3193.92</v>
      </c>
      <c r="J920" t="s">
        <v>30</v>
      </c>
      <c r="K920">
        <v>0.28000000000000003</v>
      </c>
      <c r="L920" t="s">
        <v>27</v>
      </c>
      <c r="M920" t="s">
        <v>22</v>
      </c>
      <c r="N920" t="s">
        <v>32</v>
      </c>
    </row>
    <row r="921" spans="2:14" x14ac:dyDescent="0.25">
      <c r="B921" s="1">
        <v>44935</v>
      </c>
      <c r="C921" t="s">
        <v>24</v>
      </c>
      <c r="D921" t="s">
        <v>25</v>
      </c>
      <c r="E921">
        <v>5785.45</v>
      </c>
      <c r="F921">
        <v>23</v>
      </c>
      <c r="G921" t="s">
        <v>16</v>
      </c>
      <c r="H921">
        <v>2598.1799999999998</v>
      </c>
      <c r="I921">
        <v>3042.73</v>
      </c>
      <c r="J921" t="s">
        <v>17</v>
      </c>
      <c r="K921">
        <v>0.24</v>
      </c>
      <c r="L921" t="s">
        <v>31</v>
      </c>
      <c r="M921" t="s">
        <v>19</v>
      </c>
      <c r="N921" t="s">
        <v>28</v>
      </c>
    </row>
    <row r="922" spans="2:14" x14ac:dyDescent="0.25">
      <c r="B922" s="1">
        <v>45188</v>
      </c>
      <c r="C922" t="s">
        <v>33</v>
      </c>
      <c r="D922" t="s">
        <v>21</v>
      </c>
      <c r="E922">
        <v>6705.4</v>
      </c>
      <c r="F922">
        <v>45</v>
      </c>
      <c r="G922" t="s">
        <v>29</v>
      </c>
      <c r="H922">
        <v>2590.64</v>
      </c>
      <c r="I922">
        <v>3036.18</v>
      </c>
      <c r="J922" t="s">
        <v>30</v>
      </c>
      <c r="K922">
        <v>0.05</v>
      </c>
      <c r="L922" t="s">
        <v>27</v>
      </c>
      <c r="M922" t="s">
        <v>22</v>
      </c>
      <c r="N922" t="s">
        <v>37</v>
      </c>
    </row>
    <row r="923" spans="2:14" x14ac:dyDescent="0.25">
      <c r="B923" s="1">
        <v>44999</v>
      </c>
      <c r="C923" t="s">
        <v>24</v>
      </c>
      <c r="D923" t="s">
        <v>25</v>
      </c>
      <c r="E923">
        <v>7792.79</v>
      </c>
      <c r="F923">
        <v>23</v>
      </c>
      <c r="G923" t="s">
        <v>26</v>
      </c>
      <c r="H923">
        <v>580.75</v>
      </c>
      <c r="I923">
        <v>956.16</v>
      </c>
      <c r="J923" t="s">
        <v>17</v>
      </c>
      <c r="K923">
        <v>7.0000000000000007E-2</v>
      </c>
      <c r="L923" t="s">
        <v>18</v>
      </c>
      <c r="M923" t="s">
        <v>22</v>
      </c>
      <c r="N923" t="s">
        <v>28</v>
      </c>
    </row>
    <row r="924" spans="2:14" x14ac:dyDescent="0.25">
      <c r="B924" s="1">
        <v>45285</v>
      </c>
      <c r="C924" t="s">
        <v>42</v>
      </c>
      <c r="D924" t="s">
        <v>25</v>
      </c>
      <c r="E924">
        <v>8635.81</v>
      </c>
      <c r="F924">
        <v>28</v>
      </c>
      <c r="G924" t="s">
        <v>16</v>
      </c>
      <c r="H924">
        <v>2146.2399999999998</v>
      </c>
      <c r="I924">
        <v>2173.4699999999998</v>
      </c>
      <c r="J924" t="s">
        <v>17</v>
      </c>
      <c r="K924">
        <v>0.1</v>
      </c>
      <c r="L924" t="s">
        <v>18</v>
      </c>
      <c r="M924" t="s">
        <v>22</v>
      </c>
      <c r="N924" t="s">
        <v>43</v>
      </c>
    </row>
    <row r="925" spans="2:14" x14ac:dyDescent="0.25">
      <c r="B925" s="1">
        <v>45149</v>
      </c>
      <c r="C925" t="s">
        <v>33</v>
      </c>
      <c r="D925" t="s">
        <v>15</v>
      </c>
      <c r="E925">
        <v>3207.37</v>
      </c>
      <c r="F925">
        <v>43</v>
      </c>
      <c r="G925" t="s">
        <v>16</v>
      </c>
      <c r="H925">
        <v>2289.2199999999998</v>
      </c>
      <c r="I925">
        <v>2581</v>
      </c>
      <c r="J925" t="s">
        <v>30</v>
      </c>
      <c r="K925">
        <v>0.05</v>
      </c>
      <c r="L925" t="s">
        <v>27</v>
      </c>
      <c r="M925" t="s">
        <v>19</v>
      </c>
      <c r="N925" t="s">
        <v>53</v>
      </c>
    </row>
    <row r="926" spans="2:14" x14ac:dyDescent="0.25">
      <c r="B926" s="1">
        <v>44967</v>
      </c>
      <c r="C926" t="s">
        <v>14</v>
      </c>
      <c r="D926" t="s">
        <v>34</v>
      </c>
      <c r="E926">
        <v>5426.42</v>
      </c>
      <c r="F926">
        <v>47</v>
      </c>
      <c r="G926" t="s">
        <v>16</v>
      </c>
      <c r="H926">
        <v>3681.53</v>
      </c>
      <c r="I926">
        <v>4076.96</v>
      </c>
      <c r="J926" t="s">
        <v>17</v>
      </c>
      <c r="K926">
        <v>0.17</v>
      </c>
      <c r="L926" t="s">
        <v>18</v>
      </c>
      <c r="M926" t="s">
        <v>22</v>
      </c>
      <c r="N926" t="s">
        <v>46</v>
      </c>
    </row>
    <row r="927" spans="2:14" x14ac:dyDescent="0.25">
      <c r="B927" s="1">
        <v>45130</v>
      </c>
      <c r="C927" t="s">
        <v>33</v>
      </c>
      <c r="D927" t="s">
        <v>21</v>
      </c>
      <c r="E927">
        <v>8417.07</v>
      </c>
      <c r="F927">
        <v>26</v>
      </c>
      <c r="G927" t="s">
        <v>35</v>
      </c>
      <c r="H927">
        <v>4208.09</v>
      </c>
      <c r="I927">
        <v>4226.5600000000004</v>
      </c>
      <c r="J927" t="s">
        <v>17</v>
      </c>
      <c r="K927">
        <v>0.28999999999999998</v>
      </c>
      <c r="L927" t="s">
        <v>18</v>
      </c>
      <c r="M927" t="s">
        <v>22</v>
      </c>
      <c r="N927" t="s">
        <v>37</v>
      </c>
    </row>
    <row r="928" spans="2:14" x14ac:dyDescent="0.25">
      <c r="B928" s="1">
        <v>45190</v>
      </c>
      <c r="C928" t="s">
        <v>33</v>
      </c>
      <c r="D928" t="s">
        <v>25</v>
      </c>
      <c r="E928">
        <v>9895.57</v>
      </c>
      <c r="F928">
        <v>25</v>
      </c>
      <c r="G928" t="s">
        <v>26</v>
      </c>
      <c r="H928">
        <v>2747.66</v>
      </c>
      <c r="I928">
        <v>3027.0099999999902</v>
      </c>
      <c r="J928" t="s">
        <v>30</v>
      </c>
      <c r="K928">
        <v>0.23</v>
      </c>
      <c r="L928" t="s">
        <v>18</v>
      </c>
      <c r="M928" t="s">
        <v>19</v>
      </c>
      <c r="N928" t="s">
        <v>44</v>
      </c>
    </row>
    <row r="929" spans="2:14" x14ac:dyDescent="0.25">
      <c r="B929" s="1">
        <v>45254</v>
      </c>
      <c r="C929" t="s">
        <v>38</v>
      </c>
      <c r="D929" t="s">
        <v>21</v>
      </c>
      <c r="E929">
        <v>8906.24</v>
      </c>
      <c r="F929">
        <v>29</v>
      </c>
      <c r="G929" t="s">
        <v>16</v>
      </c>
      <c r="H929">
        <v>479.58</v>
      </c>
      <c r="I929">
        <v>909.88</v>
      </c>
      <c r="J929" t="s">
        <v>17</v>
      </c>
      <c r="K929">
        <v>0.13</v>
      </c>
      <c r="L929" t="s">
        <v>31</v>
      </c>
      <c r="M929" t="s">
        <v>22</v>
      </c>
      <c r="N929" t="s">
        <v>41</v>
      </c>
    </row>
    <row r="930" spans="2:14" x14ac:dyDescent="0.25">
      <c r="B930" s="1">
        <v>45104</v>
      </c>
      <c r="C930" t="s">
        <v>33</v>
      </c>
      <c r="D930" t="s">
        <v>15</v>
      </c>
      <c r="E930">
        <v>3777.53</v>
      </c>
      <c r="F930">
        <v>19</v>
      </c>
      <c r="G930" t="s">
        <v>35</v>
      </c>
      <c r="H930">
        <v>1222.4000000000001</v>
      </c>
      <c r="I930">
        <v>1464.71</v>
      </c>
      <c r="J930" t="s">
        <v>30</v>
      </c>
      <c r="K930">
        <v>0</v>
      </c>
      <c r="L930" t="s">
        <v>31</v>
      </c>
      <c r="M930" t="s">
        <v>22</v>
      </c>
      <c r="N930" t="s">
        <v>53</v>
      </c>
    </row>
    <row r="931" spans="2:14" x14ac:dyDescent="0.25">
      <c r="B931" s="1">
        <v>45274</v>
      </c>
      <c r="C931" t="s">
        <v>33</v>
      </c>
      <c r="D931" t="s">
        <v>25</v>
      </c>
      <c r="E931">
        <v>2032.15</v>
      </c>
      <c r="F931">
        <v>33</v>
      </c>
      <c r="G931" t="s">
        <v>26</v>
      </c>
      <c r="H931">
        <v>866.42</v>
      </c>
      <c r="I931">
        <v>878.43</v>
      </c>
      <c r="J931" t="s">
        <v>30</v>
      </c>
      <c r="K931">
        <v>0.09</v>
      </c>
      <c r="L931" t="s">
        <v>18</v>
      </c>
      <c r="M931" t="s">
        <v>22</v>
      </c>
      <c r="N931" t="s">
        <v>44</v>
      </c>
    </row>
    <row r="932" spans="2:14" x14ac:dyDescent="0.25">
      <c r="B932" s="1">
        <v>45244</v>
      </c>
      <c r="C932" t="s">
        <v>24</v>
      </c>
      <c r="D932" t="s">
        <v>15</v>
      </c>
      <c r="E932">
        <v>4944.99</v>
      </c>
      <c r="F932">
        <v>36</v>
      </c>
      <c r="G932" t="s">
        <v>16</v>
      </c>
      <c r="H932">
        <v>666.84</v>
      </c>
      <c r="I932">
        <v>682.24</v>
      </c>
      <c r="J932" t="s">
        <v>30</v>
      </c>
      <c r="K932">
        <v>0.16</v>
      </c>
      <c r="L932" t="s">
        <v>27</v>
      </c>
      <c r="M932" t="s">
        <v>22</v>
      </c>
      <c r="N932" t="s">
        <v>45</v>
      </c>
    </row>
    <row r="933" spans="2:14" x14ac:dyDescent="0.25">
      <c r="B933" s="1">
        <v>45010</v>
      </c>
      <c r="C933" t="s">
        <v>14</v>
      </c>
      <c r="D933" t="s">
        <v>21</v>
      </c>
      <c r="E933">
        <v>7442.25</v>
      </c>
      <c r="F933">
        <v>14</v>
      </c>
      <c r="G933" t="s">
        <v>29</v>
      </c>
      <c r="H933">
        <v>1861.2</v>
      </c>
      <c r="I933">
        <v>2075.35</v>
      </c>
      <c r="J933" t="s">
        <v>17</v>
      </c>
      <c r="K933">
        <v>0.1</v>
      </c>
      <c r="L933" t="s">
        <v>31</v>
      </c>
      <c r="M933" t="s">
        <v>22</v>
      </c>
      <c r="N933" t="s">
        <v>23</v>
      </c>
    </row>
    <row r="934" spans="2:14" x14ac:dyDescent="0.25">
      <c r="B934" s="1">
        <v>45244</v>
      </c>
      <c r="C934" t="s">
        <v>24</v>
      </c>
      <c r="D934" t="s">
        <v>15</v>
      </c>
      <c r="E934">
        <v>4976.43</v>
      </c>
      <c r="F934">
        <v>14</v>
      </c>
      <c r="G934" t="s">
        <v>35</v>
      </c>
      <c r="H934">
        <v>1185.5</v>
      </c>
      <c r="I934">
        <v>1271.45</v>
      </c>
      <c r="J934" t="s">
        <v>17</v>
      </c>
      <c r="K934">
        <v>0.03</v>
      </c>
      <c r="L934" t="s">
        <v>27</v>
      </c>
      <c r="M934" t="s">
        <v>22</v>
      </c>
      <c r="N934" t="s">
        <v>45</v>
      </c>
    </row>
    <row r="935" spans="2:14" x14ac:dyDescent="0.25">
      <c r="B935" s="1">
        <v>45037</v>
      </c>
      <c r="C935" t="s">
        <v>24</v>
      </c>
      <c r="D935" t="s">
        <v>21</v>
      </c>
      <c r="E935">
        <v>4883.49</v>
      </c>
      <c r="F935">
        <v>35</v>
      </c>
      <c r="G935" t="s">
        <v>35</v>
      </c>
      <c r="H935">
        <v>1130.5999999999999</v>
      </c>
      <c r="I935">
        <v>1466.1799999999901</v>
      </c>
      <c r="J935" t="s">
        <v>17</v>
      </c>
      <c r="K935">
        <v>0.13</v>
      </c>
      <c r="L935" t="s">
        <v>18</v>
      </c>
      <c r="M935" t="s">
        <v>19</v>
      </c>
      <c r="N935" t="s">
        <v>47</v>
      </c>
    </row>
    <row r="936" spans="2:14" x14ac:dyDescent="0.25">
      <c r="B936" s="1">
        <v>45177</v>
      </c>
      <c r="C936" t="s">
        <v>42</v>
      </c>
      <c r="D936" t="s">
        <v>15</v>
      </c>
      <c r="E936">
        <v>8398.48</v>
      </c>
      <c r="F936">
        <v>30</v>
      </c>
      <c r="G936" t="s">
        <v>16</v>
      </c>
      <c r="H936">
        <v>320.73</v>
      </c>
      <c r="I936">
        <v>678.04</v>
      </c>
      <c r="J936" t="s">
        <v>17</v>
      </c>
      <c r="K936">
        <v>0.08</v>
      </c>
      <c r="L936" t="s">
        <v>18</v>
      </c>
      <c r="M936" t="s">
        <v>22</v>
      </c>
      <c r="N936" t="s">
        <v>49</v>
      </c>
    </row>
    <row r="937" spans="2:14" x14ac:dyDescent="0.25">
      <c r="B937" s="1">
        <v>44933</v>
      </c>
      <c r="C937" t="s">
        <v>24</v>
      </c>
      <c r="D937" t="s">
        <v>21</v>
      </c>
      <c r="E937">
        <v>3677.9</v>
      </c>
      <c r="F937">
        <v>28</v>
      </c>
      <c r="G937" t="s">
        <v>16</v>
      </c>
      <c r="H937">
        <v>137.47</v>
      </c>
      <c r="I937">
        <v>234.63</v>
      </c>
      <c r="J937" t="s">
        <v>30</v>
      </c>
      <c r="K937">
        <v>0.27</v>
      </c>
      <c r="L937" t="s">
        <v>27</v>
      </c>
      <c r="M937" t="s">
        <v>22</v>
      </c>
      <c r="N937" t="s">
        <v>47</v>
      </c>
    </row>
    <row r="938" spans="2:14" x14ac:dyDescent="0.25">
      <c r="B938" s="1">
        <v>45010</v>
      </c>
      <c r="C938" t="s">
        <v>38</v>
      </c>
      <c r="D938" t="s">
        <v>34</v>
      </c>
      <c r="E938">
        <v>8611.9699999999993</v>
      </c>
      <c r="F938">
        <v>17</v>
      </c>
      <c r="G938" t="s">
        <v>35</v>
      </c>
      <c r="H938">
        <v>558.70000000000005</v>
      </c>
      <c r="I938">
        <v>1004.08</v>
      </c>
      <c r="J938" t="s">
        <v>17</v>
      </c>
      <c r="K938">
        <v>0.03</v>
      </c>
      <c r="L938" t="s">
        <v>31</v>
      </c>
      <c r="M938" t="s">
        <v>19</v>
      </c>
      <c r="N938" t="s">
        <v>48</v>
      </c>
    </row>
    <row r="939" spans="2:14" x14ac:dyDescent="0.25">
      <c r="B939" s="1">
        <v>45134</v>
      </c>
      <c r="C939" t="s">
        <v>38</v>
      </c>
      <c r="D939" t="s">
        <v>15</v>
      </c>
      <c r="E939">
        <v>4127.37</v>
      </c>
      <c r="F939">
        <v>3</v>
      </c>
      <c r="G939" t="s">
        <v>29</v>
      </c>
      <c r="H939">
        <v>902.38</v>
      </c>
      <c r="I939">
        <v>1128.9100000000001</v>
      </c>
      <c r="J939" t="s">
        <v>30</v>
      </c>
      <c r="K939">
        <v>0.01</v>
      </c>
      <c r="L939" t="s">
        <v>27</v>
      </c>
      <c r="M939" t="s">
        <v>22</v>
      </c>
      <c r="N939" t="s">
        <v>40</v>
      </c>
    </row>
    <row r="940" spans="2:14" x14ac:dyDescent="0.25">
      <c r="B940" s="1">
        <v>45240</v>
      </c>
      <c r="C940" t="s">
        <v>42</v>
      </c>
      <c r="D940" t="s">
        <v>15</v>
      </c>
      <c r="E940">
        <v>3349.51</v>
      </c>
      <c r="F940">
        <v>16</v>
      </c>
      <c r="G940" t="s">
        <v>29</v>
      </c>
      <c r="H940">
        <v>2183.37</v>
      </c>
      <c r="I940">
        <v>2263.3599999999901</v>
      </c>
      <c r="J940" t="s">
        <v>17</v>
      </c>
      <c r="K940">
        <v>0</v>
      </c>
      <c r="L940" t="s">
        <v>27</v>
      </c>
      <c r="M940" t="s">
        <v>22</v>
      </c>
      <c r="N940" t="s">
        <v>49</v>
      </c>
    </row>
    <row r="941" spans="2:14" x14ac:dyDescent="0.25">
      <c r="B941" s="1">
        <v>44948</v>
      </c>
      <c r="C941" t="s">
        <v>14</v>
      </c>
      <c r="D941" t="s">
        <v>34</v>
      </c>
      <c r="E941">
        <v>4594.5</v>
      </c>
      <c r="F941">
        <v>46</v>
      </c>
      <c r="G941" t="s">
        <v>26</v>
      </c>
      <c r="H941">
        <v>2577.08</v>
      </c>
      <c r="I941">
        <v>2961.56</v>
      </c>
      <c r="J941" t="s">
        <v>17</v>
      </c>
      <c r="K941">
        <v>0.1</v>
      </c>
      <c r="L941" t="s">
        <v>18</v>
      </c>
      <c r="M941" t="s">
        <v>19</v>
      </c>
      <c r="N941" t="s">
        <v>46</v>
      </c>
    </row>
    <row r="942" spans="2:14" x14ac:dyDescent="0.25">
      <c r="B942" s="1">
        <v>44929</v>
      </c>
      <c r="C942" t="s">
        <v>14</v>
      </c>
      <c r="D942" t="s">
        <v>34</v>
      </c>
      <c r="E942">
        <v>7648.22</v>
      </c>
      <c r="F942">
        <v>30</v>
      </c>
      <c r="G942" t="s">
        <v>16</v>
      </c>
      <c r="H942">
        <v>745.93</v>
      </c>
      <c r="I942">
        <v>1143.02</v>
      </c>
      <c r="J942" t="s">
        <v>17</v>
      </c>
      <c r="K942">
        <v>0.2</v>
      </c>
      <c r="L942" t="s">
        <v>31</v>
      </c>
      <c r="M942" t="s">
        <v>19</v>
      </c>
      <c r="N942" t="s">
        <v>46</v>
      </c>
    </row>
    <row r="943" spans="2:14" x14ac:dyDescent="0.25">
      <c r="B943" s="1">
        <v>45053</v>
      </c>
      <c r="C943" t="s">
        <v>24</v>
      </c>
      <c r="D943" t="s">
        <v>15</v>
      </c>
      <c r="E943">
        <v>1347.42</v>
      </c>
      <c r="F943">
        <v>29</v>
      </c>
      <c r="G943" t="s">
        <v>29</v>
      </c>
      <c r="H943">
        <v>2152.6799999999998</v>
      </c>
      <c r="I943">
        <v>2475.9299999999998</v>
      </c>
      <c r="J943" t="s">
        <v>17</v>
      </c>
      <c r="K943">
        <v>0.22</v>
      </c>
      <c r="L943" t="s">
        <v>27</v>
      </c>
      <c r="M943" t="s">
        <v>19</v>
      </c>
      <c r="N943" t="s">
        <v>45</v>
      </c>
    </row>
    <row r="944" spans="2:14" x14ac:dyDescent="0.25">
      <c r="B944" s="1">
        <v>45223</v>
      </c>
      <c r="C944" t="s">
        <v>24</v>
      </c>
      <c r="D944" t="s">
        <v>34</v>
      </c>
      <c r="E944">
        <v>2044.55</v>
      </c>
      <c r="F944">
        <v>45</v>
      </c>
      <c r="G944" t="s">
        <v>26</v>
      </c>
      <c r="H944">
        <v>1741.66</v>
      </c>
      <c r="I944">
        <v>2169.86</v>
      </c>
      <c r="J944" t="s">
        <v>17</v>
      </c>
      <c r="K944">
        <v>0.14000000000000001</v>
      </c>
      <c r="L944" t="s">
        <v>31</v>
      </c>
      <c r="M944" t="s">
        <v>19</v>
      </c>
      <c r="N944" t="s">
        <v>50</v>
      </c>
    </row>
    <row r="945" spans="2:14" x14ac:dyDescent="0.25">
      <c r="B945" s="1">
        <v>45114</v>
      </c>
      <c r="C945" t="s">
        <v>24</v>
      </c>
      <c r="D945" t="s">
        <v>25</v>
      </c>
      <c r="E945">
        <v>9519.2999999999993</v>
      </c>
      <c r="F945">
        <v>15</v>
      </c>
      <c r="G945" t="s">
        <v>29</v>
      </c>
      <c r="H945">
        <v>957.95</v>
      </c>
      <c r="I945">
        <v>1329.26</v>
      </c>
      <c r="J945" t="s">
        <v>30</v>
      </c>
      <c r="K945">
        <v>0.21</v>
      </c>
      <c r="L945" t="s">
        <v>18</v>
      </c>
      <c r="M945" t="s">
        <v>19</v>
      </c>
      <c r="N945" t="s">
        <v>28</v>
      </c>
    </row>
    <row r="946" spans="2:14" x14ac:dyDescent="0.25">
      <c r="B946" s="1">
        <v>45288</v>
      </c>
      <c r="C946" t="s">
        <v>14</v>
      </c>
      <c r="D946" t="s">
        <v>21</v>
      </c>
      <c r="E946">
        <v>1837.37</v>
      </c>
      <c r="F946">
        <v>46</v>
      </c>
      <c r="G946" t="s">
        <v>16</v>
      </c>
      <c r="H946">
        <v>83.86</v>
      </c>
      <c r="I946">
        <v>526.14</v>
      </c>
      <c r="J946" t="s">
        <v>17</v>
      </c>
      <c r="K946">
        <v>0.11</v>
      </c>
      <c r="L946" t="s">
        <v>31</v>
      </c>
      <c r="M946" t="s">
        <v>19</v>
      </c>
      <c r="N946" t="s">
        <v>23</v>
      </c>
    </row>
    <row r="947" spans="2:14" x14ac:dyDescent="0.25">
      <c r="B947" s="1">
        <v>44940</v>
      </c>
      <c r="C947" t="s">
        <v>33</v>
      </c>
      <c r="D947" t="s">
        <v>21</v>
      </c>
      <c r="E947">
        <v>5720.5</v>
      </c>
      <c r="F947">
        <v>25</v>
      </c>
      <c r="G947" t="s">
        <v>26</v>
      </c>
      <c r="H947">
        <v>2361.7399999999998</v>
      </c>
      <c r="I947">
        <v>2584.35</v>
      </c>
      <c r="J947" t="s">
        <v>17</v>
      </c>
      <c r="K947">
        <v>0.2</v>
      </c>
      <c r="L947" t="s">
        <v>18</v>
      </c>
      <c r="M947" t="s">
        <v>19</v>
      </c>
      <c r="N947" t="s">
        <v>37</v>
      </c>
    </row>
    <row r="948" spans="2:14" x14ac:dyDescent="0.25">
      <c r="B948" s="1">
        <v>44938</v>
      </c>
      <c r="C948" t="s">
        <v>38</v>
      </c>
      <c r="D948" t="s">
        <v>21</v>
      </c>
      <c r="E948">
        <v>5835.21</v>
      </c>
      <c r="F948">
        <v>38</v>
      </c>
      <c r="G948" t="s">
        <v>26</v>
      </c>
      <c r="H948">
        <v>3443.98</v>
      </c>
      <c r="I948">
        <v>3820.3</v>
      </c>
      <c r="J948" t="s">
        <v>17</v>
      </c>
      <c r="K948">
        <v>0.01</v>
      </c>
      <c r="L948" t="s">
        <v>31</v>
      </c>
      <c r="M948" t="s">
        <v>22</v>
      </c>
      <c r="N948" t="s">
        <v>41</v>
      </c>
    </row>
    <row r="949" spans="2:14" x14ac:dyDescent="0.25">
      <c r="B949" s="1">
        <v>45013</v>
      </c>
      <c r="C949" t="s">
        <v>33</v>
      </c>
      <c r="D949" t="s">
        <v>25</v>
      </c>
      <c r="E949">
        <v>4947.28</v>
      </c>
      <c r="F949">
        <v>42</v>
      </c>
      <c r="G949" t="s">
        <v>26</v>
      </c>
      <c r="H949">
        <v>1170.07</v>
      </c>
      <c r="I949">
        <v>1669.94999999999</v>
      </c>
      <c r="J949" t="s">
        <v>17</v>
      </c>
      <c r="K949">
        <v>0.12</v>
      </c>
      <c r="L949" t="s">
        <v>27</v>
      </c>
      <c r="M949" t="s">
        <v>22</v>
      </c>
      <c r="N949" t="s">
        <v>44</v>
      </c>
    </row>
    <row r="950" spans="2:14" x14ac:dyDescent="0.25">
      <c r="B950" s="1">
        <v>44938</v>
      </c>
      <c r="C950" t="s">
        <v>33</v>
      </c>
      <c r="D950" t="s">
        <v>34</v>
      </c>
      <c r="E950">
        <v>6482.98</v>
      </c>
      <c r="F950">
        <v>47</v>
      </c>
      <c r="G950" t="s">
        <v>29</v>
      </c>
      <c r="H950">
        <v>702.44</v>
      </c>
      <c r="I950">
        <v>1067.6600000000001</v>
      </c>
      <c r="J950" t="s">
        <v>30</v>
      </c>
      <c r="K950">
        <v>0.24</v>
      </c>
      <c r="L950" t="s">
        <v>18</v>
      </c>
      <c r="M950" t="s">
        <v>22</v>
      </c>
      <c r="N950" t="s">
        <v>36</v>
      </c>
    </row>
    <row r="951" spans="2:14" x14ac:dyDescent="0.25">
      <c r="B951" s="1">
        <v>44951</v>
      </c>
      <c r="C951" t="s">
        <v>14</v>
      </c>
      <c r="D951" t="s">
        <v>34</v>
      </c>
      <c r="E951">
        <v>2375.2800000000002</v>
      </c>
      <c r="F951">
        <v>38</v>
      </c>
      <c r="G951" t="s">
        <v>16</v>
      </c>
      <c r="H951">
        <v>4440.8599999999997</v>
      </c>
      <c r="I951">
        <v>4506.8099999999904</v>
      </c>
      <c r="J951" t="s">
        <v>17</v>
      </c>
      <c r="K951">
        <v>0.24</v>
      </c>
      <c r="L951" t="s">
        <v>27</v>
      </c>
      <c r="M951" t="s">
        <v>19</v>
      </c>
      <c r="N951" t="s">
        <v>46</v>
      </c>
    </row>
    <row r="952" spans="2:14" x14ac:dyDescent="0.25">
      <c r="B952" s="1">
        <v>45227</v>
      </c>
      <c r="C952" t="s">
        <v>33</v>
      </c>
      <c r="D952" t="s">
        <v>15</v>
      </c>
      <c r="E952">
        <v>5571.36</v>
      </c>
      <c r="F952">
        <v>23</v>
      </c>
      <c r="G952" t="s">
        <v>26</v>
      </c>
      <c r="H952">
        <v>1411.37</v>
      </c>
      <c r="I952">
        <v>1675.35</v>
      </c>
      <c r="J952" t="s">
        <v>30</v>
      </c>
      <c r="K952">
        <v>0.21</v>
      </c>
      <c r="L952" t="s">
        <v>18</v>
      </c>
      <c r="M952" t="s">
        <v>22</v>
      </c>
      <c r="N952" t="s">
        <v>53</v>
      </c>
    </row>
    <row r="953" spans="2:14" x14ac:dyDescent="0.25">
      <c r="B953" s="1">
        <v>45169</v>
      </c>
      <c r="C953" t="s">
        <v>42</v>
      </c>
      <c r="D953" t="s">
        <v>34</v>
      </c>
      <c r="E953">
        <v>3784.52</v>
      </c>
      <c r="F953">
        <v>25</v>
      </c>
      <c r="G953" t="s">
        <v>35</v>
      </c>
      <c r="H953">
        <v>1156.8800000000001</v>
      </c>
      <c r="I953">
        <v>1454.68</v>
      </c>
      <c r="J953" t="s">
        <v>17</v>
      </c>
      <c r="K953">
        <v>0.06</v>
      </c>
      <c r="L953" t="s">
        <v>31</v>
      </c>
      <c r="M953" t="s">
        <v>19</v>
      </c>
      <c r="N953" t="s">
        <v>52</v>
      </c>
    </row>
    <row r="954" spans="2:14" x14ac:dyDescent="0.25">
      <c r="B954" s="1">
        <v>45048</v>
      </c>
      <c r="C954" t="s">
        <v>24</v>
      </c>
      <c r="D954" t="s">
        <v>15</v>
      </c>
      <c r="E954">
        <v>6650.51</v>
      </c>
      <c r="F954">
        <v>42</v>
      </c>
      <c r="G954" t="s">
        <v>16</v>
      </c>
      <c r="H954">
        <v>4292.63</v>
      </c>
      <c r="I954">
        <v>4387.99</v>
      </c>
      <c r="J954" t="s">
        <v>30</v>
      </c>
      <c r="K954">
        <v>7.0000000000000007E-2</v>
      </c>
      <c r="L954" t="s">
        <v>31</v>
      </c>
      <c r="M954" t="s">
        <v>22</v>
      </c>
      <c r="N954" t="s">
        <v>45</v>
      </c>
    </row>
    <row r="955" spans="2:14" x14ac:dyDescent="0.25">
      <c r="B955" s="1">
        <v>45073</v>
      </c>
      <c r="C955" t="s">
        <v>42</v>
      </c>
      <c r="D955" t="s">
        <v>25</v>
      </c>
      <c r="E955">
        <v>1498.11</v>
      </c>
      <c r="F955">
        <v>7</v>
      </c>
      <c r="G955" t="s">
        <v>35</v>
      </c>
      <c r="H955">
        <v>4094.68</v>
      </c>
      <c r="I955">
        <v>4576.5</v>
      </c>
      <c r="J955" t="s">
        <v>30</v>
      </c>
      <c r="K955">
        <v>0.3</v>
      </c>
      <c r="L955" t="s">
        <v>18</v>
      </c>
      <c r="M955" t="s">
        <v>22</v>
      </c>
      <c r="N955" t="s">
        <v>43</v>
      </c>
    </row>
    <row r="956" spans="2:14" x14ac:dyDescent="0.25">
      <c r="B956" s="1">
        <v>44981</v>
      </c>
      <c r="C956" t="s">
        <v>38</v>
      </c>
      <c r="D956" t="s">
        <v>21</v>
      </c>
      <c r="E956">
        <v>5751.69</v>
      </c>
      <c r="F956">
        <v>22</v>
      </c>
      <c r="G956" t="s">
        <v>35</v>
      </c>
      <c r="H956">
        <v>2269.3200000000002</v>
      </c>
      <c r="I956">
        <v>2365.35</v>
      </c>
      <c r="J956" t="s">
        <v>30</v>
      </c>
      <c r="K956">
        <v>0.03</v>
      </c>
      <c r="L956" t="s">
        <v>18</v>
      </c>
      <c r="M956" t="s">
        <v>22</v>
      </c>
      <c r="N956" t="s">
        <v>41</v>
      </c>
    </row>
    <row r="957" spans="2:14" x14ac:dyDescent="0.25">
      <c r="B957" s="1">
        <v>45164</v>
      </c>
      <c r="C957" t="s">
        <v>24</v>
      </c>
      <c r="D957" t="s">
        <v>21</v>
      </c>
      <c r="E957">
        <v>1934.18</v>
      </c>
      <c r="F957">
        <v>17</v>
      </c>
      <c r="G957" t="s">
        <v>26</v>
      </c>
      <c r="H957">
        <v>2471.73</v>
      </c>
      <c r="I957">
        <v>2568.73</v>
      </c>
      <c r="J957" t="s">
        <v>30</v>
      </c>
      <c r="K957">
        <v>0.05</v>
      </c>
      <c r="L957" t="s">
        <v>18</v>
      </c>
      <c r="M957" t="s">
        <v>22</v>
      </c>
      <c r="N957" t="s">
        <v>47</v>
      </c>
    </row>
    <row r="958" spans="2:14" x14ac:dyDescent="0.25">
      <c r="B958" s="1">
        <v>45282</v>
      </c>
      <c r="C958" t="s">
        <v>33</v>
      </c>
      <c r="D958" t="s">
        <v>21</v>
      </c>
      <c r="E958">
        <v>2858.57</v>
      </c>
      <c r="F958">
        <v>18</v>
      </c>
      <c r="G958" t="s">
        <v>26</v>
      </c>
      <c r="H958">
        <v>1127.8599999999999</v>
      </c>
      <c r="I958">
        <v>1586.29</v>
      </c>
      <c r="J958" t="s">
        <v>30</v>
      </c>
      <c r="K958">
        <v>0.04</v>
      </c>
      <c r="L958" t="s">
        <v>31</v>
      </c>
      <c r="M958" t="s">
        <v>19</v>
      </c>
      <c r="N958" t="s">
        <v>37</v>
      </c>
    </row>
    <row r="959" spans="2:14" x14ac:dyDescent="0.25">
      <c r="B959" s="1">
        <v>45099</v>
      </c>
      <c r="C959" t="s">
        <v>38</v>
      </c>
      <c r="D959" t="s">
        <v>34</v>
      </c>
      <c r="E959">
        <v>2265.23</v>
      </c>
      <c r="F959">
        <v>49</v>
      </c>
      <c r="G959" t="s">
        <v>29</v>
      </c>
      <c r="H959">
        <v>437.59</v>
      </c>
      <c r="I959">
        <v>675.54</v>
      </c>
      <c r="J959" t="s">
        <v>17</v>
      </c>
      <c r="K959">
        <v>0.1</v>
      </c>
      <c r="L959" t="s">
        <v>18</v>
      </c>
      <c r="M959" t="s">
        <v>19</v>
      </c>
      <c r="N959" t="s">
        <v>48</v>
      </c>
    </row>
    <row r="960" spans="2:14" x14ac:dyDescent="0.25">
      <c r="B960" s="1">
        <v>45147</v>
      </c>
      <c r="C960" t="s">
        <v>24</v>
      </c>
      <c r="D960" t="s">
        <v>15</v>
      </c>
      <c r="E960">
        <v>1910.09</v>
      </c>
      <c r="F960">
        <v>41</v>
      </c>
      <c r="G960" t="s">
        <v>29</v>
      </c>
      <c r="H960">
        <v>2888.49</v>
      </c>
      <c r="I960">
        <v>2929.45</v>
      </c>
      <c r="J960" t="s">
        <v>30</v>
      </c>
      <c r="K960">
        <v>0.06</v>
      </c>
      <c r="L960" t="s">
        <v>18</v>
      </c>
      <c r="M960" t="s">
        <v>22</v>
      </c>
      <c r="N960" t="s">
        <v>45</v>
      </c>
    </row>
    <row r="961" spans="2:14" x14ac:dyDescent="0.25">
      <c r="B961" s="1">
        <v>45045</v>
      </c>
      <c r="C961" t="s">
        <v>33</v>
      </c>
      <c r="D961" t="s">
        <v>15</v>
      </c>
      <c r="E961">
        <v>8274.5400000000009</v>
      </c>
      <c r="F961">
        <v>10</v>
      </c>
      <c r="G961" t="s">
        <v>29</v>
      </c>
      <c r="H961">
        <v>536.80999999999995</v>
      </c>
      <c r="I961">
        <v>839.92</v>
      </c>
      <c r="J961" t="s">
        <v>17</v>
      </c>
      <c r="K961">
        <v>0.15</v>
      </c>
      <c r="L961" t="s">
        <v>27</v>
      </c>
      <c r="M961" t="s">
        <v>19</v>
      </c>
      <c r="N961" t="s">
        <v>53</v>
      </c>
    </row>
    <row r="962" spans="2:14" x14ac:dyDescent="0.25">
      <c r="B962" s="1">
        <v>45235</v>
      </c>
      <c r="C962" t="s">
        <v>42</v>
      </c>
      <c r="D962" t="s">
        <v>25</v>
      </c>
      <c r="E962">
        <v>2928.5</v>
      </c>
      <c r="F962">
        <v>10</v>
      </c>
      <c r="G962" t="s">
        <v>16</v>
      </c>
      <c r="H962">
        <v>2273.91</v>
      </c>
      <c r="I962">
        <v>2578.7999999999902</v>
      </c>
      <c r="J962" t="s">
        <v>30</v>
      </c>
      <c r="K962">
        <v>0.14000000000000001</v>
      </c>
      <c r="L962" t="s">
        <v>18</v>
      </c>
      <c r="M962" t="s">
        <v>19</v>
      </c>
      <c r="N962" t="s">
        <v>43</v>
      </c>
    </row>
    <row r="963" spans="2:14" x14ac:dyDescent="0.25">
      <c r="B963" s="1">
        <v>45109</v>
      </c>
      <c r="C963" t="s">
        <v>24</v>
      </c>
      <c r="D963" t="s">
        <v>34</v>
      </c>
      <c r="E963">
        <v>9278.5300000000007</v>
      </c>
      <c r="F963">
        <v>7</v>
      </c>
      <c r="G963" t="s">
        <v>29</v>
      </c>
      <c r="H963">
        <v>4705.46</v>
      </c>
      <c r="I963">
        <v>4747.07</v>
      </c>
      <c r="J963" t="s">
        <v>30</v>
      </c>
      <c r="K963">
        <v>0.27</v>
      </c>
      <c r="L963" t="s">
        <v>27</v>
      </c>
      <c r="M963" t="s">
        <v>22</v>
      </c>
      <c r="N963" t="s">
        <v>50</v>
      </c>
    </row>
    <row r="964" spans="2:14" x14ac:dyDescent="0.25">
      <c r="B964" s="1">
        <v>45214</v>
      </c>
      <c r="C964" t="s">
        <v>33</v>
      </c>
      <c r="D964" t="s">
        <v>25</v>
      </c>
      <c r="E964">
        <v>9702.27</v>
      </c>
      <c r="F964">
        <v>48</v>
      </c>
      <c r="G964" t="s">
        <v>35</v>
      </c>
      <c r="H964">
        <v>4766.53</v>
      </c>
      <c r="I964">
        <v>5253.07</v>
      </c>
      <c r="J964" t="s">
        <v>17</v>
      </c>
      <c r="K964">
        <v>0.01</v>
      </c>
      <c r="L964" t="s">
        <v>27</v>
      </c>
      <c r="M964" t="s">
        <v>19</v>
      </c>
      <c r="N964" t="s">
        <v>44</v>
      </c>
    </row>
    <row r="965" spans="2:14" x14ac:dyDescent="0.25">
      <c r="B965" s="1">
        <v>45233</v>
      </c>
      <c r="C965" t="s">
        <v>42</v>
      </c>
      <c r="D965" t="s">
        <v>15</v>
      </c>
      <c r="E965">
        <v>5755.48</v>
      </c>
      <c r="F965">
        <v>38</v>
      </c>
      <c r="G965" t="s">
        <v>29</v>
      </c>
      <c r="H965">
        <v>1234.69</v>
      </c>
      <c r="I965">
        <v>1511.26</v>
      </c>
      <c r="J965" t="s">
        <v>30</v>
      </c>
      <c r="K965">
        <v>0.1</v>
      </c>
      <c r="L965" t="s">
        <v>27</v>
      </c>
      <c r="M965" t="s">
        <v>19</v>
      </c>
      <c r="N965" t="s">
        <v>49</v>
      </c>
    </row>
    <row r="966" spans="2:14" x14ac:dyDescent="0.25">
      <c r="B966" s="1">
        <v>45226</v>
      </c>
      <c r="C966" t="s">
        <v>38</v>
      </c>
      <c r="D966" t="s">
        <v>15</v>
      </c>
      <c r="E966">
        <v>1515.71</v>
      </c>
      <c r="F966">
        <v>27</v>
      </c>
      <c r="G966" t="s">
        <v>26</v>
      </c>
      <c r="H966">
        <v>3139.36</v>
      </c>
      <c r="I966">
        <v>3423.66</v>
      </c>
      <c r="J966" t="s">
        <v>30</v>
      </c>
      <c r="K966">
        <v>0.18</v>
      </c>
      <c r="L966" t="s">
        <v>31</v>
      </c>
      <c r="M966" t="s">
        <v>19</v>
      </c>
      <c r="N966" t="s">
        <v>40</v>
      </c>
    </row>
    <row r="967" spans="2:14" x14ac:dyDescent="0.25">
      <c r="B967" s="1">
        <v>45008</v>
      </c>
      <c r="C967" t="s">
        <v>38</v>
      </c>
      <c r="D967" t="s">
        <v>21</v>
      </c>
      <c r="E967">
        <v>3808.03</v>
      </c>
      <c r="F967">
        <v>33</v>
      </c>
      <c r="G967" t="s">
        <v>29</v>
      </c>
      <c r="H967">
        <v>2396.6799999999998</v>
      </c>
      <c r="I967">
        <v>2661.54</v>
      </c>
      <c r="J967" t="s">
        <v>30</v>
      </c>
      <c r="K967">
        <v>0.18</v>
      </c>
      <c r="L967" t="s">
        <v>27</v>
      </c>
      <c r="M967" t="s">
        <v>19</v>
      </c>
      <c r="N967" t="s">
        <v>41</v>
      </c>
    </row>
    <row r="968" spans="2:14" x14ac:dyDescent="0.25">
      <c r="B968" s="1">
        <v>45137</v>
      </c>
      <c r="C968" t="s">
        <v>38</v>
      </c>
      <c r="D968" t="s">
        <v>34</v>
      </c>
      <c r="E968">
        <v>7997.55</v>
      </c>
      <c r="F968">
        <v>1</v>
      </c>
      <c r="G968" t="s">
        <v>16</v>
      </c>
      <c r="H968">
        <v>4384.6400000000003</v>
      </c>
      <c r="I968">
        <v>4693.8999999999996</v>
      </c>
      <c r="J968" t="s">
        <v>30</v>
      </c>
      <c r="K968">
        <v>0.14000000000000001</v>
      </c>
      <c r="L968" t="s">
        <v>18</v>
      </c>
      <c r="M968" t="s">
        <v>22</v>
      </c>
      <c r="N968" t="s">
        <v>48</v>
      </c>
    </row>
    <row r="969" spans="2:14" x14ac:dyDescent="0.25">
      <c r="B969" s="1">
        <v>45076</v>
      </c>
      <c r="C969" t="s">
        <v>38</v>
      </c>
      <c r="D969" t="s">
        <v>15</v>
      </c>
      <c r="E969">
        <v>3737.17</v>
      </c>
      <c r="F969">
        <v>44</v>
      </c>
      <c r="G969" t="s">
        <v>16</v>
      </c>
      <c r="H969">
        <v>1393.58</v>
      </c>
      <c r="I969">
        <v>1533.09</v>
      </c>
      <c r="J969" t="s">
        <v>17</v>
      </c>
      <c r="K969">
        <v>0.24</v>
      </c>
      <c r="L969" t="s">
        <v>31</v>
      </c>
      <c r="M969" t="s">
        <v>22</v>
      </c>
      <c r="N969" t="s">
        <v>40</v>
      </c>
    </row>
    <row r="970" spans="2:14" x14ac:dyDescent="0.25">
      <c r="B970" s="1">
        <v>44963</v>
      </c>
      <c r="C970" t="s">
        <v>14</v>
      </c>
      <c r="D970" t="s">
        <v>21</v>
      </c>
      <c r="E970">
        <v>961.47</v>
      </c>
      <c r="F970">
        <v>34</v>
      </c>
      <c r="G970" t="s">
        <v>35</v>
      </c>
      <c r="H970">
        <v>68.33</v>
      </c>
      <c r="I970">
        <v>219.07999999999899</v>
      </c>
      <c r="J970" t="s">
        <v>30</v>
      </c>
      <c r="K970">
        <v>0.02</v>
      </c>
      <c r="L970" t="s">
        <v>31</v>
      </c>
      <c r="M970" t="s">
        <v>19</v>
      </c>
      <c r="N970" t="s">
        <v>23</v>
      </c>
    </row>
    <row r="971" spans="2:14" x14ac:dyDescent="0.25">
      <c r="B971" s="1">
        <v>45278</v>
      </c>
      <c r="C971" t="s">
        <v>24</v>
      </c>
      <c r="D971" t="s">
        <v>34</v>
      </c>
      <c r="E971">
        <v>5612.17</v>
      </c>
      <c r="F971">
        <v>4</v>
      </c>
      <c r="G971" t="s">
        <v>16</v>
      </c>
      <c r="H971">
        <v>854.68</v>
      </c>
      <c r="I971">
        <v>1115.24</v>
      </c>
      <c r="J971" t="s">
        <v>30</v>
      </c>
      <c r="K971">
        <v>0.24</v>
      </c>
      <c r="L971" t="s">
        <v>31</v>
      </c>
      <c r="M971" t="s">
        <v>22</v>
      </c>
      <c r="N971" t="s">
        <v>50</v>
      </c>
    </row>
    <row r="972" spans="2:14" x14ac:dyDescent="0.25">
      <c r="B972" s="1">
        <v>45238</v>
      </c>
      <c r="C972" t="s">
        <v>24</v>
      </c>
      <c r="D972" t="s">
        <v>25</v>
      </c>
      <c r="E972">
        <v>8466.7000000000007</v>
      </c>
      <c r="F972">
        <v>17</v>
      </c>
      <c r="G972" t="s">
        <v>29</v>
      </c>
      <c r="H972">
        <v>1780.14</v>
      </c>
      <c r="I972">
        <v>2185.42</v>
      </c>
      <c r="J972" t="s">
        <v>17</v>
      </c>
      <c r="K972">
        <v>0.15</v>
      </c>
      <c r="L972" t="s">
        <v>31</v>
      </c>
      <c r="M972" t="s">
        <v>22</v>
      </c>
      <c r="N972" t="s">
        <v>28</v>
      </c>
    </row>
    <row r="973" spans="2:14" x14ac:dyDescent="0.25">
      <c r="B973" s="1">
        <v>45287</v>
      </c>
      <c r="C973" t="s">
        <v>14</v>
      </c>
      <c r="D973" t="s">
        <v>34</v>
      </c>
      <c r="E973">
        <v>7979.67</v>
      </c>
      <c r="F973">
        <v>4</v>
      </c>
      <c r="G973" t="s">
        <v>26</v>
      </c>
      <c r="H973">
        <v>1612.82</v>
      </c>
      <c r="I973">
        <v>1647.25</v>
      </c>
      <c r="J973" t="s">
        <v>17</v>
      </c>
      <c r="K973">
        <v>0.04</v>
      </c>
      <c r="L973" t="s">
        <v>31</v>
      </c>
      <c r="M973" t="s">
        <v>22</v>
      </c>
      <c r="N973" t="s">
        <v>46</v>
      </c>
    </row>
    <row r="974" spans="2:14" x14ac:dyDescent="0.25">
      <c r="B974" s="1">
        <v>44985</v>
      </c>
      <c r="C974" t="s">
        <v>33</v>
      </c>
      <c r="D974" t="s">
        <v>34</v>
      </c>
      <c r="E974">
        <v>1833.72</v>
      </c>
      <c r="F974">
        <v>43</v>
      </c>
      <c r="G974" t="s">
        <v>16</v>
      </c>
      <c r="H974">
        <v>3967.25</v>
      </c>
      <c r="I974">
        <v>4272.92</v>
      </c>
      <c r="J974" t="s">
        <v>30</v>
      </c>
      <c r="K974">
        <v>0.27</v>
      </c>
      <c r="L974" t="s">
        <v>31</v>
      </c>
      <c r="M974" t="s">
        <v>19</v>
      </c>
      <c r="N974" t="s">
        <v>36</v>
      </c>
    </row>
    <row r="975" spans="2:14" x14ac:dyDescent="0.25">
      <c r="B975" s="1">
        <v>45057</v>
      </c>
      <c r="C975" t="s">
        <v>33</v>
      </c>
      <c r="D975" t="s">
        <v>15</v>
      </c>
      <c r="E975">
        <v>6760.37</v>
      </c>
      <c r="F975">
        <v>26</v>
      </c>
      <c r="G975" t="s">
        <v>35</v>
      </c>
      <c r="H975">
        <v>3418.78</v>
      </c>
      <c r="I975">
        <v>3824.1</v>
      </c>
      <c r="J975" t="s">
        <v>30</v>
      </c>
      <c r="K975">
        <v>0.19</v>
      </c>
      <c r="L975" t="s">
        <v>31</v>
      </c>
      <c r="M975" t="s">
        <v>19</v>
      </c>
      <c r="N975" t="s">
        <v>53</v>
      </c>
    </row>
    <row r="976" spans="2:14" x14ac:dyDescent="0.25">
      <c r="B976" s="1">
        <v>45128</v>
      </c>
      <c r="C976" t="s">
        <v>38</v>
      </c>
      <c r="D976" t="s">
        <v>15</v>
      </c>
      <c r="E976">
        <v>2282.9899999999998</v>
      </c>
      <c r="F976">
        <v>4</v>
      </c>
      <c r="G976" t="s">
        <v>29</v>
      </c>
      <c r="H976">
        <v>1532.8</v>
      </c>
      <c r="I976">
        <v>1619.69</v>
      </c>
      <c r="J976" t="s">
        <v>17</v>
      </c>
      <c r="K976">
        <v>0.05</v>
      </c>
      <c r="L976" t="s">
        <v>27</v>
      </c>
      <c r="M976" t="s">
        <v>22</v>
      </c>
      <c r="N976" t="s">
        <v>40</v>
      </c>
    </row>
    <row r="977" spans="2:14" x14ac:dyDescent="0.25">
      <c r="B977" s="1">
        <v>45169</v>
      </c>
      <c r="C977" t="s">
        <v>42</v>
      </c>
      <c r="D977" t="s">
        <v>34</v>
      </c>
      <c r="E977">
        <v>2260.25</v>
      </c>
      <c r="F977">
        <v>1</v>
      </c>
      <c r="G977" t="s">
        <v>35</v>
      </c>
      <c r="H977">
        <v>2315.83</v>
      </c>
      <c r="I977">
        <v>2333.19</v>
      </c>
      <c r="J977" t="s">
        <v>30</v>
      </c>
      <c r="K977">
        <v>0.01</v>
      </c>
      <c r="L977" t="s">
        <v>18</v>
      </c>
      <c r="M977" t="s">
        <v>22</v>
      </c>
      <c r="N977" t="s">
        <v>52</v>
      </c>
    </row>
    <row r="978" spans="2:14" x14ac:dyDescent="0.25">
      <c r="B978" s="1">
        <v>44961</v>
      </c>
      <c r="C978" t="s">
        <v>33</v>
      </c>
      <c r="D978" t="s">
        <v>15</v>
      </c>
      <c r="E978">
        <v>8753.31</v>
      </c>
      <c r="F978">
        <v>7</v>
      </c>
      <c r="G978" t="s">
        <v>16</v>
      </c>
      <c r="H978">
        <v>523.02</v>
      </c>
      <c r="I978">
        <v>686.25</v>
      </c>
      <c r="J978" t="s">
        <v>17</v>
      </c>
      <c r="K978">
        <v>0.04</v>
      </c>
      <c r="L978" t="s">
        <v>18</v>
      </c>
      <c r="M978" t="s">
        <v>19</v>
      </c>
      <c r="N978" t="s">
        <v>53</v>
      </c>
    </row>
    <row r="979" spans="2:14" x14ac:dyDescent="0.25">
      <c r="B979" s="1">
        <v>45019</v>
      </c>
      <c r="C979" t="s">
        <v>42</v>
      </c>
      <c r="D979" t="s">
        <v>15</v>
      </c>
      <c r="E979">
        <v>2571.7199999999998</v>
      </c>
      <c r="F979">
        <v>30</v>
      </c>
      <c r="G979" t="s">
        <v>16</v>
      </c>
      <c r="H979">
        <v>4495.82</v>
      </c>
      <c r="I979">
        <v>4794.0099999999902</v>
      </c>
      <c r="J979" t="s">
        <v>30</v>
      </c>
      <c r="K979">
        <v>0.18</v>
      </c>
      <c r="L979" t="s">
        <v>27</v>
      </c>
      <c r="M979" t="s">
        <v>22</v>
      </c>
      <c r="N979" t="s">
        <v>49</v>
      </c>
    </row>
    <row r="980" spans="2:14" x14ac:dyDescent="0.25">
      <c r="B980" s="1">
        <v>45133</v>
      </c>
      <c r="C980" t="s">
        <v>24</v>
      </c>
      <c r="D980" t="s">
        <v>15</v>
      </c>
      <c r="E980">
        <v>2706.15</v>
      </c>
      <c r="F980">
        <v>9</v>
      </c>
      <c r="G980" t="s">
        <v>35</v>
      </c>
      <c r="H980">
        <v>4680.3500000000004</v>
      </c>
      <c r="I980">
        <v>4758.1099999999997</v>
      </c>
      <c r="J980" t="s">
        <v>17</v>
      </c>
      <c r="K980">
        <v>0.05</v>
      </c>
      <c r="L980" t="s">
        <v>27</v>
      </c>
      <c r="M980" t="s">
        <v>19</v>
      </c>
      <c r="N980" t="s">
        <v>45</v>
      </c>
    </row>
    <row r="981" spans="2:14" x14ac:dyDescent="0.25">
      <c r="B981" s="1">
        <v>45279</v>
      </c>
      <c r="C981" t="s">
        <v>42</v>
      </c>
      <c r="D981" t="s">
        <v>21</v>
      </c>
      <c r="E981">
        <v>106.47</v>
      </c>
      <c r="F981">
        <v>35</v>
      </c>
      <c r="G981" t="s">
        <v>29</v>
      </c>
      <c r="H981">
        <v>4900.03</v>
      </c>
      <c r="I981">
        <v>5118.83</v>
      </c>
      <c r="J981" t="s">
        <v>17</v>
      </c>
      <c r="K981">
        <v>7.0000000000000007E-2</v>
      </c>
      <c r="L981" t="s">
        <v>31</v>
      </c>
      <c r="M981" t="s">
        <v>22</v>
      </c>
      <c r="N981" t="s">
        <v>51</v>
      </c>
    </row>
    <row r="982" spans="2:14" x14ac:dyDescent="0.25">
      <c r="B982" s="1">
        <v>45258</v>
      </c>
      <c r="C982" t="s">
        <v>24</v>
      </c>
      <c r="D982" t="s">
        <v>21</v>
      </c>
      <c r="E982">
        <v>8719.6200000000008</v>
      </c>
      <c r="F982">
        <v>8</v>
      </c>
      <c r="G982" t="s">
        <v>16</v>
      </c>
      <c r="H982">
        <v>4349.34</v>
      </c>
      <c r="I982">
        <v>4629.9799999999996</v>
      </c>
      <c r="J982" t="s">
        <v>17</v>
      </c>
      <c r="K982">
        <v>0.01</v>
      </c>
      <c r="L982" t="s">
        <v>31</v>
      </c>
      <c r="M982" t="s">
        <v>19</v>
      </c>
      <c r="N982" t="s">
        <v>47</v>
      </c>
    </row>
    <row r="983" spans="2:14" x14ac:dyDescent="0.25">
      <c r="B983" s="1">
        <v>45231</v>
      </c>
      <c r="C983" t="s">
        <v>14</v>
      </c>
      <c r="D983" t="s">
        <v>34</v>
      </c>
      <c r="E983">
        <v>7946.69</v>
      </c>
      <c r="F983">
        <v>24</v>
      </c>
      <c r="G983" t="s">
        <v>26</v>
      </c>
      <c r="H983">
        <v>911.11</v>
      </c>
      <c r="I983">
        <v>1214.56</v>
      </c>
      <c r="J983" t="s">
        <v>30</v>
      </c>
      <c r="K983">
        <v>0.22</v>
      </c>
      <c r="L983" t="s">
        <v>27</v>
      </c>
      <c r="M983" t="s">
        <v>19</v>
      </c>
      <c r="N983" t="s">
        <v>46</v>
      </c>
    </row>
    <row r="984" spans="2:14" x14ac:dyDescent="0.25">
      <c r="B984" s="1">
        <v>45276</v>
      </c>
      <c r="C984" t="s">
        <v>14</v>
      </c>
      <c r="D984" t="s">
        <v>15</v>
      </c>
      <c r="E984">
        <v>6310.56</v>
      </c>
      <c r="F984">
        <v>19</v>
      </c>
      <c r="G984" t="s">
        <v>16</v>
      </c>
      <c r="H984">
        <v>278.67</v>
      </c>
      <c r="I984">
        <v>423.13</v>
      </c>
      <c r="J984" t="s">
        <v>30</v>
      </c>
      <c r="K984">
        <v>0.24</v>
      </c>
      <c r="L984" t="s">
        <v>31</v>
      </c>
      <c r="M984" t="s">
        <v>19</v>
      </c>
      <c r="N984" t="s">
        <v>20</v>
      </c>
    </row>
    <row r="985" spans="2:14" x14ac:dyDescent="0.25">
      <c r="B985" s="1">
        <v>45139</v>
      </c>
      <c r="C985" t="s">
        <v>38</v>
      </c>
      <c r="D985" t="s">
        <v>21</v>
      </c>
      <c r="E985">
        <v>7527.63</v>
      </c>
      <c r="F985">
        <v>36</v>
      </c>
      <c r="G985" t="s">
        <v>29</v>
      </c>
      <c r="H985">
        <v>2919</v>
      </c>
      <c r="I985">
        <v>3125.01</v>
      </c>
      <c r="J985" t="s">
        <v>30</v>
      </c>
      <c r="K985">
        <v>0.24</v>
      </c>
      <c r="L985" t="s">
        <v>18</v>
      </c>
      <c r="M985" t="s">
        <v>19</v>
      </c>
      <c r="N985" t="s">
        <v>41</v>
      </c>
    </row>
    <row r="986" spans="2:14" x14ac:dyDescent="0.25">
      <c r="B986" s="1">
        <v>45085</v>
      </c>
      <c r="C986" t="s">
        <v>33</v>
      </c>
      <c r="D986" t="s">
        <v>34</v>
      </c>
      <c r="E986">
        <v>1605.28</v>
      </c>
      <c r="F986">
        <v>43</v>
      </c>
      <c r="G986" t="s">
        <v>16</v>
      </c>
      <c r="H986">
        <v>4567.3900000000003</v>
      </c>
      <c r="I986">
        <v>4958.78</v>
      </c>
      <c r="J986" t="s">
        <v>30</v>
      </c>
      <c r="K986">
        <v>0.04</v>
      </c>
      <c r="L986" t="s">
        <v>18</v>
      </c>
      <c r="M986" t="s">
        <v>22</v>
      </c>
      <c r="N986" t="s">
        <v>36</v>
      </c>
    </row>
    <row r="987" spans="2:14" x14ac:dyDescent="0.25">
      <c r="B987" s="1">
        <v>44950</v>
      </c>
      <c r="C987" t="s">
        <v>38</v>
      </c>
      <c r="D987" t="s">
        <v>15</v>
      </c>
      <c r="E987">
        <v>4637.3999999999996</v>
      </c>
      <c r="F987">
        <v>27</v>
      </c>
      <c r="G987" t="s">
        <v>35</v>
      </c>
      <c r="H987">
        <v>927.89</v>
      </c>
      <c r="I987">
        <v>1399.09</v>
      </c>
      <c r="J987" t="s">
        <v>17</v>
      </c>
      <c r="K987">
        <v>0.27</v>
      </c>
      <c r="L987" t="s">
        <v>31</v>
      </c>
      <c r="M987" t="s">
        <v>19</v>
      </c>
      <c r="N987" t="s">
        <v>40</v>
      </c>
    </row>
    <row r="988" spans="2:14" x14ac:dyDescent="0.25">
      <c r="B988" s="1">
        <v>45219</v>
      </c>
      <c r="C988" t="s">
        <v>24</v>
      </c>
      <c r="D988" t="s">
        <v>25</v>
      </c>
      <c r="E988">
        <v>3577.07</v>
      </c>
      <c r="F988">
        <v>32</v>
      </c>
      <c r="G988" t="s">
        <v>16</v>
      </c>
      <c r="H988">
        <v>84.86</v>
      </c>
      <c r="I988">
        <v>517.17999999999995</v>
      </c>
      <c r="J988" t="s">
        <v>17</v>
      </c>
      <c r="K988">
        <v>0.2</v>
      </c>
      <c r="L988" t="s">
        <v>31</v>
      </c>
      <c r="M988" t="s">
        <v>22</v>
      </c>
      <c r="N988" t="s">
        <v>28</v>
      </c>
    </row>
    <row r="989" spans="2:14" x14ac:dyDescent="0.25">
      <c r="B989" s="1">
        <v>44930</v>
      </c>
      <c r="C989" t="s">
        <v>38</v>
      </c>
      <c r="D989" t="s">
        <v>15</v>
      </c>
      <c r="E989">
        <v>1028.3900000000001</v>
      </c>
      <c r="F989">
        <v>14</v>
      </c>
      <c r="G989" t="s">
        <v>16</v>
      </c>
      <c r="H989">
        <v>4037.21</v>
      </c>
      <c r="I989">
        <v>4323.71</v>
      </c>
      <c r="J989" t="s">
        <v>17</v>
      </c>
      <c r="K989">
        <v>0.27</v>
      </c>
      <c r="L989" t="s">
        <v>31</v>
      </c>
      <c r="M989" t="s">
        <v>19</v>
      </c>
      <c r="N989" t="s">
        <v>40</v>
      </c>
    </row>
    <row r="990" spans="2:14" x14ac:dyDescent="0.25">
      <c r="B990" s="1">
        <v>45146</v>
      </c>
      <c r="C990" t="s">
        <v>42</v>
      </c>
      <c r="D990" t="s">
        <v>15</v>
      </c>
      <c r="E990">
        <v>4912.6899999999996</v>
      </c>
      <c r="F990">
        <v>18</v>
      </c>
      <c r="G990" t="s">
        <v>29</v>
      </c>
      <c r="H990">
        <v>430.14</v>
      </c>
      <c r="I990">
        <v>641.17999999999995</v>
      </c>
      <c r="J990" t="s">
        <v>30</v>
      </c>
      <c r="K990">
        <v>0.13</v>
      </c>
      <c r="L990" t="s">
        <v>18</v>
      </c>
      <c r="M990" t="s">
        <v>19</v>
      </c>
      <c r="N990" t="s">
        <v>49</v>
      </c>
    </row>
    <row r="991" spans="2:14" x14ac:dyDescent="0.25">
      <c r="B991" s="1">
        <v>45290</v>
      </c>
      <c r="C991" t="s">
        <v>24</v>
      </c>
      <c r="D991" t="s">
        <v>21</v>
      </c>
      <c r="E991">
        <v>9215.32</v>
      </c>
      <c r="F991">
        <v>28</v>
      </c>
      <c r="G991" t="s">
        <v>35</v>
      </c>
      <c r="H991">
        <v>2097.84</v>
      </c>
      <c r="I991">
        <v>2270.9899999999998</v>
      </c>
      <c r="J991" t="s">
        <v>30</v>
      </c>
      <c r="K991">
        <v>0.13</v>
      </c>
      <c r="L991" t="s">
        <v>31</v>
      </c>
      <c r="M991" t="s">
        <v>22</v>
      </c>
      <c r="N991" t="s">
        <v>47</v>
      </c>
    </row>
    <row r="992" spans="2:14" x14ac:dyDescent="0.25">
      <c r="B992" s="1">
        <v>44946</v>
      </c>
      <c r="C992" t="s">
        <v>14</v>
      </c>
      <c r="D992" t="s">
        <v>34</v>
      </c>
      <c r="E992">
        <v>496.59</v>
      </c>
      <c r="F992">
        <v>29</v>
      </c>
      <c r="G992" t="s">
        <v>29</v>
      </c>
      <c r="H992">
        <v>3410.49</v>
      </c>
      <c r="I992">
        <v>3481.72</v>
      </c>
      <c r="J992" t="s">
        <v>30</v>
      </c>
      <c r="K992">
        <v>0.24</v>
      </c>
      <c r="L992" t="s">
        <v>27</v>
      </c>
      <c r="M992" t="s">
        <v>22</v>
      </c>
      <c r="N992" t="s">
        <v>46</v>
      </c>
    </row>
    <row r="993" spans="2:14" x14ac:dyDescent="0.25">
      <c r="B993" s="1">
        <v>45078</v>
      </c>
      <c r="C993" t="s">
        <v>33</v>
      </c>
      <c r="D993" t="s">
        <v>34</v>
      </c>
      <c r="E993">
        <v>2985.46</v>
      </c>
      <c r="F993">
        <v>16</v>
      </c>
      <c r="G993" t="s">
        <v>16</v>
      </c>
      <c r="H993">
        <v>1222.1500000000001</v>
      </c>
      <c r="I993">
        <v>1284.3599999999999</v>
      </c>
      <c r="J993" t="s">
        <v>17</v>
      </c>
      <c r="K993">
        <v>0.03</v>
      </c>
      <c r="L993" t="s">
        <v>31</v>
      </c>
      <c r="M993" t="s">
        <v>22</v>
      </c>
      <c r="N993" t="s">
        <v>36</v>
      </c>
    </row>
    <row r="994" spans="2:14" x14ac:dyDescent="0.25">
      <c r="B994" s="1">
        <v>44976</v>
      </c>
      <c r="C994" t="s">
        <v>24</v>
      </c>
      <c r="D994" t="s">
        <v>21</v>
      </c>
      <c r="E994">
        <v>2154.66</v>
      </c>
      <c r="F994">
        <v>35</v>
      </c>
      <c r="G994" t="s">
        <v>26</v>
      </c>
      <c r="H994">
        <v>465.61</v>
      </c>
      <c r="I994">
        <v>812.91</v>
      </c>
      <c r="J994" t="s">
        <v>30</v>
      </c>
      <c r="K994">
        <v>0.16</v>
      </c>
      <c r="L994" t="s">
        <v>27</v>
      </c>
      <c r="M994" t="s">
        <v>19</v>
      </c>
      <c r="N994" t="s">
        <v>47</v>
      </c>
    </row>
    <row r="995" spans="2:14" x14ac:dyDescent="0.25">
      <c r="B995" s="1">
        <v>45103</v>
      </c>
      <c r="C995" t="s">
        <v>24</v>
      </c>
      <c r="D995" t="s">
        <v>15</v>
      </c>
      <c r="E995">
        <v>2457.65</v>
      </c>
      <c r="F995">
        <v>47</v>
      </c>
      <c r="G995" t="s">
        <v>16</v>
      </c>
      <c r="H995">
        <v>3861.61</v>
      </c>
      <c r="I995">
        <v>3998.91</v>
      </c>
      <c r="J995" t="s">
        <v>30</v>
      </c>
      <c r="K995">
        <v>0.25</v>
      </c>
      <c r="L995" t="s">
        <v>31</v>
      </c>
      <c r="M995" t="s">
        <v>19</v>
      </c>
      <c r="N995" t="s">
        <v>45</v>
      </c>
    </row>
    <row r="996" spans="2:14" x14ac:dyDescent="0.25">
      <c r="B996" s="1">
        <v>45022</v>
      </c>
      <c r="C996" t="s">
        <v>42</v>
      </c>
      <c r="D996" t="s">
        <v>25</v>
      </c>
      <c r="E996">
        <v>9093.5</v>
      </c>
      <c r="F996">
        <v>31</v>
      </c>
      <c r="G996" t="s">
        <v>29</v>
      </c>
      <c r="H996">
        <v>3169.37</v>
      </c>
      <c r="I996">
        <v>3304.15</v>
      </c>
      <c r="J996" t="s">
        <v>17</v>
      </c>
      <c r="K996">
        <v>0.25</v>
      </c>
      <c r="L996" t="s">
        <v>31</v>
      </c>
      <c r="M996" t="s">
        <v>22</v>
      </c>
      <c r="N996" t="s">
        <v>43</v>
      </c>
    </row>
    <row r="997" spans="2:14" x14ac:dyDescent="0.25">
      <c r="B997" s="1">
        <v>45031</v>
      </c>
      <c r="C997" t="s">
        <v>33</v>
      </c>
      <c r="D997" t="s">
        <v>15</v>
      </c>
      <c r="E997">
        <v>4733.88</v>
      </c>
      <c r="F997">
        <v>4</v>
      </c>
      <c r="G997" t="s">
        <v>26</v>
      </c>
      <c r="H997">
        <v>4943.03</v>
      </c>
      <c r="I997">
        <v>5442.15</v>
      </c>
      <c r="J997" t="s">
        <v>17</v>
      </c>
      <c r="K997">
        <v>0.28999999999999998</v>
      </c>
      <c r="L997" t="s">
        <v>18</v>
      </c>
      <c r="M997" t="s">
        <v>19</v>
      </c>
      <c r="N997" t="s">
        <v>53</v>
      </c>
    </row>
    <row r="998" spans="2:14" x14ac:dyDescent="0.25">
      <c r="B998" s="1">
        <v>45176</v>
      </c>
      <c r="C998" t="s">
        <v>14</v>
      </c>
      <c r="D998" t="s">
        <v>15</v>
      </c>
      <c r="E998">
        <v>4716.3599999999997</v>
      </c>
      <c r="F998">
        <v>37</v>
      </c>
      <c r="G998" t="s">
        <v>29</v>
      </c>
      <c r="H998">
        <v>1754.32</v>
      </c>
      <c r="I998">
        <v>1856.3999999999901</v>
      </c>
      <c r="J998" t="s">
        <v>30</v>
      </c>
      <c r="K998">
        <v>0.21</v>
      </c>
      <c r="L998" t="s">
        <v>27</v>
      </c>
      <c r="M998" t="s">
        <v>22</v>
      </c>
      <c r="N998" t="s">
        <v>20</v>
      </c>
    </row>
    <row r="999" spans="2:14" x14ac:dyDescent="0.25">
      <c r="B999" s="1">
        <v>45043</v>
      </c>
      <c r="C999" t="s">
        <v>24</v>
      </c>
      <c r="D999" t="s">
        <v>25</v>
      </c>
      <c r="E999">
        <v>7629.7</v>
      </c>
      <c r="F999">
        <v>17</v>
      </c>
      <c r="G999" t="s">
        <v>29</v>
      </c>
      <c r="H999">
        <v>355.72</v>
      </c>
      <c r="I999">
        <v>438.27</v>
      </c>
      <c r="J999" t="s">
        <v>17</v>
      </c>
      <c r="K999">
        <v>0.06</v>
      </c>
      <c r="L999" t="s">
        <v>27</v>
      </c>
      <c r="M999" t="s">
        <v>19</v>
      </c>
      <c r="N999" t="s">
        <v>28</v>
      </c>
    </row>
    <row r="1000" spans="2:14" x14ac:dyDescent="0.25">
      <c r="B1000" s="1">
        <v>45280</v>
      </c>
      <c r="C1000" t="s">
        <v>24</v>
      </c>
      <c r="D1000" t="s">
        <v>21</v>
      </c>
      <c r="E1000">
        <v>1629.47</v>
      </c>
      <c r="F1000">
        <v>39</v>
      </c>
      <c r="G1000" t="s">
        <v>35</v>
      </c>
      <c r="H1000">
        <v>3685.03</v>
      </c>
      <c r="I1000">
        <v>3743.39</v>
      </c>
      <c r="J1000" t="s">
        <v>30</v>
      </c>
      <c r="K1000">
        <v>0.01</v>
      </c>
      <c r="L1000" t="s">
        <v>27</v>
      </c>
      <c r="M1000" t="s">
        <v>19</v>
      </c>
      <c r="N1000" t="s">
        <v>47</v>
      </c>
    </row>
    <row r="1001" spans="2:14" x14ac:dyDescent="0.25">
      <c r="B1001" s="1">
        <v>45154</v>
      </c>
      <c r="C1001" t="s">
        <v>42</v>
      </c>
      <c r="D1001" t="s">
        <v>34</v>
      </c>
      <c r="E1001">
        <v>4923.93</v>
      </c>
      <c r="F1001">
        <v>48</v>
      </c>
      <c r="G1001" t="s">
        <v>26</v>
      </c>
      <c r="H1001">
        <v>2632.58</v>
      </c>
      <c r="I1001">
        <v>2926.68</v>
      </c>
      <c r="J1001" t="s">
        <v>17</v>
      </c>
      <c r="K1001">
        <v>0.14000000000000001</v>
      </c>
      <c r="L1001" t="s">
        <v>18</v>
      </c>
      <c r="M1001" t="s">
        <v>19</v>
      </c>
      <c r="N1001" t="s">
        <v>52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7BA58-3CA2-4555-BA90-FF9DD0845E77}">
  <sheetPr codeName="Sheet3"/>
  <dimension ref="A1:F12"/>
  <sheetViews>
    <sheetView workbookViewId="0">
      <selection activeCell="B12" sqref="B12"/>
    </sheetView>
  </sheetViews>
  <sheetFormatPr defaultRowHeight="15" x14ac:dyDescent="0.25"/>
  <sheetData>
    <row r="1" spans="1:6" x14ac:dyDescent="0.25">
      <c r="A1" t="s">
        <v>101</v>
      </c>
      <c r="B1" t="s">
        <v>104</v>
      </c>
    </row>
    <row r="2" spans="1:6" x14ac:dyDescent="0.25">
      <c r="A2">
        <v>1</v>
      </c>
      <c r="B2" t="s">
        <v>63</v>
      </c>
      <c r="F2" t="s">
        <v>101</v>
      </c>
    </row>
    <row r="3" spans="1:6" x14ac:dyDescent="0.25">
      <c r="A3">
        <v>2</v>
      </c>
      <c r="B3" t="s">
        <v>105</v>
      </c>
    </row>
    <row r="4" spans="1:6" x14ac:dyDescent="0.25">
      <c r="A4">
        <v>3</v>
      </c>
      <c r="B4" t="s">
        <v>106</v>
      </c>
    </row>
    <row r="5" spans="1:6" x14ac:dyDescent="0.25">
      <c r="A5">
        <v>4</v>
      </c>
      <c r="B5" t="s">
        <v>107</v>
      </c>
    </row>
    <row r="6" spans="1:6" x14ac:dyDescent="0.25">
      <c r="A6">
        <v>5</v>
      </c>
      <c r="B6" t="s">
        <v>108</v>
      </c>
    </row>
    <row r="7" spans="1:6" x14ac:dyDescent="0.25">
      <c r="A7">
        <v>6</v>
      </c>
      <c r="B7" t="s">
        <v>109</v>
      </c>
    </row>
    <row r="8" spans="1:6" x14ac:dyDescent="0.25">
      <c r="A8">
        <v>7</v>
      </c>
      <c r="B8" t="s">
        <v>110</v>
      </c>
    </row>
    <row r="9" spans="1:6" x14ac:dyDescent="0.25">
      <c r="A9">
        <v>8</v>
      </c>
      <c r="B9" t="s">
        <v>111</v>
      </c>
    </row>
    <row r="10" spans="1:6" x14ac:dyDescent="0.25">
      <c r="A10">
        <v>9</v>
      </c>
      <c r="B10" t="s">
        <v>112</v>
      </c>
      <c r="E10" t="s">
        <v>101</v>
      </c>
    </row>
    <row r="11" spans="1:6" x14ac:dyDescent="0.25">
      <c r="A11">
        <v>10</v>
      </c>
      <c r="B11" t="s">
        <v>113</v>
      </c>
    </row>
    <row r="12" spans="1:6" x14ac:dyDescent="0.25">
      <c r="B12" t="s">
        <v>101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5E904-2939-4934-96FC-CBBDB154C005}">
  <sheetPr codeName="Sheet4"/>
  <dimension ref="A1"/>
  <sheetViews>
    <sheetView workbookViewId="0">
      <selection activeCell="R1" sqref="R1"/>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E422E-5A6E-4AE6-BB84-49FB95353D6A}">
  <sheetPr codeName="Sheet5"/>
  <dimension ref="A1:L21"/>
  <sheetViews>
    <sheetView workbookViewId="0">
      <selection activeCell="M2" sqref="M2"/>
    </sheetView>
  </sheetViews>
  <sheetFormatPr defaultRowHeight="15" x14ac:dyDescent="0.25"/>
  <cols>
    <col min="9" max="9" width="10.42578125" customWidth="1"/>
    <col min="12" max="12" width="13.140625" customWidth="1"/>
  </cols>
  <sheetData>
    <row r="1" spans="1:12" x14ac:dyDescent="0.25">
      <c r="B1" t="s">
        <v>104</v>
      </c>
      <c r="I1" s="15" t="s">
        <v>102</v>
      </c>
      <c r="J1" s="15" t="s">
        <v>103</v>
      </c>
      <c r="K1" s="15"/>
      <c r="L1" s="15"/>
    </row>
    <row r="2" spans="1:12" x14ac:dyDescent="0.25">
      <c r="A2">
        <v>1</v>
      </c>
      <c r="B2" t="s">
        <v>63</v>
      </c>
      <c r="I2" s="16">
        <v>1</v>
      </c>
      <c r="J2" s="9"/>
      <c r="K2" s="17"/>
      <c r="L2" s="9"/>
    </row>
    <row r="3" spans="1:12" x14ac:dyDescent="0.25">
      <c r="A3">
        <v>2</v>
      </c>
      <c r="B3" t="s">
        <v>105</v>
      </c>
      <c r="I3" s="16">
        <v>2</v>
      </c>
      <c r="J3" s="9"/>
      <c r="K3" s="17"/>
      <c r="L3" s="9"/>
    </row>
    <row r="4" spans="1:12" x14ac:dyDescent="0.25">
      <c r="A4">
        <v>3</v>
      </c>
      <c r="B4" t="s">
        <v>106</v>
      </c>
      <c r="H4" t="s">
        <v>101</v>
      </c>
      <c r="I4" s="16">
        <v>3</v>
      </c>
      <c r="J4" s="9"/>
      <c r="K4" s="17"/>
      <c r="L4" s="9"/>
    </row>
    <row r="5" spans="1:12" x14ac:dyDescent="0.25">
      <c r="A5">
        <v>4</v>
      </c>
      <c r="B5" t="s">
        <v>107</v>
      </c>
      <c r="H5" t="s">
        <v>101</v>
      </c>
      <c r="I5" s="16">
        <v>4</v>
      </c>
      <c r="J5" s="9"/>
      <c r="K5" s="17"/>
      <c r="L5" s="9"/>
    </row>
    <row r="6" spans="1:12" x14ac:dyDescent="0.25">
      <c r="A6">
        <v>5</v>
      </c>
      <c r="B6" t="s">
        <v>108</v>
      </c>
      <c r="I6" s="16">
        <v>5</v>
      </c>
      <c r="J6" s="9"/>
      <c r="K6" s="17"/>
      <c r="L6" s="9"/>
    </row>
    <row r="7" spans="1:12" x14ac:dyDescent="0.25">
      <c r="A7">
        <v>6</v>
      </c>
      <c r="B7" t="s">
        <v>109</v>
      </c>
      <c r="I7" s="16">
        <v>6</v>
      </c>
      <c r="J7" s="9"/>
      <c r="K7" s="17"/>
      <c r="L7" s="9"/>
    </row>
    <row r="8" spans="1:12" x14ac:dyDescent="0.25">
      <c r="A8">
        <v>7</v>
      </c>
      <c r="B8" t="s">
        <v>110</v>
      </c>
      <c r="I8" s="16">
        <v>7</v>
      </c>
      <c r="J8" s="9"/>
      <c r="K8" s="17"/>
      <c r="L8" s="9"/>
    </row>
    <row r="9" spans="1:12" x14ac:dyDescent="0.25">
      <c r="A9">
        <v>8</v>
      </c>
      <c r="B9" t="s">
        <v>111</v>
      </c>
      <c r="I9" s="16">
        <v>8</v>
      </c>
      <c r="J9" s="9"/>
      <c r="K9" s="17"/>
      <c r="L9" s="9"/>
    </row>
    <row r="10" spans="1:12" x14ac:dyDescent="0.25">
      <c r="A10">
        <v>9</v>
      </c>
      <c r="B10" t="s">
        <v>112</v>
      </c>
      <c r="I10" s="16">
        <v>9</v>
      </c>
      <c r="J10" s="9"/>
      <c r="K10" s="17"/>
      <c r="L10" s="9"/>
    </row>
    <row r="11" spans="1:12" x14ac:dyDescent="0.25">
      <c r="A11">
        <v>10</v>
      </c>
      <c r="B11" t="s">
        <v>113</v>
      </c>
      <c r="I11" s="16">
        <v>10</v>
      </c>
      <c r="J11" s="9"/>
      <c r="K11" s="17"/>
      <c r="L11" s="9"/>
    </row>
    <row r="12" spans="1:12" x14ac:dyDescent="0.25">
      <c r="B12" t="s">
        <v>101</v>
      </c>
      <c r="I12" s="16"/>
      <c r="J12" s="9"/>
      <c r="K12" s="17"/>
      <c r="L12" s="9"/>
    </row>
    <row r="13" spans="1:12" x14ac:dyDescent="0.25">
      <c r="I13" s="16"/>
      <c r="J13" s="9"/>
      <c r="K13" s="17"/>
      <c r="L13" s="9"/>
    </row>
    <row r="14" spans="1:12" x14ac:dyDescent="0.25">
      <c r="I14" s="16"/>
      <c r="J14" s="9"/>
      <c r="K14" s="17"/>
      <c r="L14" s="9"/>
    </row>
    <row r="15" spans="1:12" x14ac:dyDescent="0.25">
      <c r="I15" s="16"/>
      <c r="J15" s="9"/>
      <c r="K15" s="17"/>
      <c r="L15" s="9"/>
    </row>
    <row r="16" spans="1:12" x14ac:dyDescent="0.25">
      <c r="I16" s="16"/>
      <c r="J16" s="9"/>
      <c r="K16" s="17"/>
      <c r="L16" s="9"/>
    </row>
    <row r="17" spans="9:12" x14ac:dyDescent="0.25">
      <c r="I17" s="16"/>
      <c r="J17" s="9"/>
      <c r="K17" s="17"/>
      <c r="L17" s="9"/>
    </row>
    <row r="18" spans="9:12" x14ac:dyDescent="0.25">
      <c r="I18" s="16"/>
      <c r="J18" s="9"/>
      <c r="K18" s="17"/>
      <c r="L18" s="9"/>
    </row>
    <row r="19" spans="9:12" x14ac:dyDescent="0.25">
      <c r="I19" s="16"/>
      <c r="J19" s="9"/>
      <c r="K19" s="17"/>
      <c r="L19" s="9"/>
    </row>
    <row r="20" spans="9:12" x14ac:dyDescent="0.25">
      <c r="I20" s="16"/>
      <c r="J20" s="9"/>
      <c r="K20" s="17"/>
      <c r="L20" s="9"/>
    </row>
    <row r="21" spans="9:12" x14ac:dyDescent="0.25">
      <c r="I21" s="16"/>
      <c r="J21" s="9"/>
      <c r="K21" s="17"/>
      <c r="L21" s="9"/>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84A6E-6718-4DA8-9B3D-FAAC68CF1CE0}">
  <sheetPr codeName="Sheet6"/>
  <dimension ref="A1:AA32"/>
  <sheetViews>
    <sheetView workbookViewId="0">
      <selection activeCell="AC11" sqref="AC11"/>
    </sheetView>
  </sheetViews>
  <sheetFormatPr defaultRowHeight="15" x14ac:dyDescent="0.25"/>
  <cols>
    <col min="2" max="2" width="11.85546875" customWidth="1"/>
    <col min="9" max="9" width="10.42578125" customWidth="1"/>
    <col min="12" max="12" width="13.140625" customWidth="1"/>
  </cols>
  <sheetData>
    <row r="1" spans="1:27" x14ac:dyDescent="0.25">
      <c r="A1" t="s">
        <v>0</v>
      </c>
      <c r="B1" t="s">
        <v>1</v>
      </c>
      <c r="C1" t="s">
        <v>2</v>
      </c>
      <c r="D1" t="s">
        <v>3</v>
      </c>
      <c r="E1" t="s">
        <v>4</v>
      </c>
      <c r="I1" s="15" t="s">
        <v>102</v>
      </c>
      <c r="J1" s="15" t="s">
        <v>103</v>
      </c>
      <c r="K1" s="15" t="s">
        <v>3</v>
      </c>
      <c r="L1" s="15" t="s">
        <v>4</v>
      </c>
    </row>
    <row r="2" spans="1:27" x14ac:dyDescent="0.25">
      <c r="A2">
        <v>1052</v>
      </c>
      <c r="B2" s="1">
        <v>44960</v>
      </c>
      <c r="C2" t="s">
        <v>14</v>
      </c>
      <c r="D2" t="s">
        <v>15</v>
      </c>
      <c r="E2">
        <v>5053.97</v>
      </c>
      <c r="I2" s="16">
        <v>1052</v>
      </c>
      <c r="J2" s="9" t="s">
        <v>14</v>
      </c>
      <c r="K2" s="17" t="s">
        <v>15</v>
      </c>
      <c r="L2" s="9">
        <v>5053.97</v>
      </c>
    </row>
    <row r="3" spans="1:27" x14ac:dyDescent="0.25">
      <c r="A3">
        <v>1093</v>
      </c>
      <c r="B3" s="1">
        <v>45037</v>
      </c>
      <c r="C3" t="s">
        <v>14</v>
      </c>
      <c r="D3" t="s">
        <v>21</v>
      </c>
      <c r="E3">
        <v>4384.0200000000004</v>
      </c>
      <c r="I3" s="16">
        <v>1093</v>
      </c>
      <c r="J3" s="9" t="s">
        <v>14</v>
      </c>
      <c r="K3" s="17" t="s">
        <v>21</v>
      </c>
      <c r="L3" s="9">
        <v>4384.0200000000004</v>
      </c>
      <c r="Q3">
        <v>1</v>
      </c>
      <c r="R3">
        <v>100</v>
      </c>
    </row>
    <row r="4" spans="1:27" x14ac:dyDescent="0.25">
      <c r="A4">
        <v>1015</v>
      </c>
      <c r="B4" s="1">
        <v>45190</v>
      </c>
      <c r="C4" t="s">
        <v>24</v>
      </c>
      <c r="D4" t="s">
        <v>25</v>
      </c>
      <c r="E4">
        <v>4631.2299999999996</v>
      </c>
      <c r="I4" s="16">
        <v>1015</v>
      </c>
      <c r="J4" s="9" t="s">
        <v>24</v>
      </c>
      <c r="K4" s="17" t="s">
        <v>25</v>
      </c>
      <c r="L4" s="9">
        <v>4631.2299999999996</v>
      </c>
      <c r="Q4">
        <v>2</v>
      </c>
      <c r="R4">
        <v>101</v>
      </c>
    </row>
    <row r="5" spans="1:27" x14ac:dyDescent="0.25">
      <c r="A5">
        <v>1072</v>
      </c>
      <c r="B5" s="1">
        <v>45162</v>
      </c>
      <c r="C5" t="s">
        <v>14</v>
      </c>
      <c r="D5" t="s">
        <v>25</v>
      </c>
      <c r="E5">
        <v>2167.94</v>
      </c>
      <c r="I5" s="16">
        <v>1072</v>
      </c>
      <c r="J5" s="9" t="s">
        <v>14</v>
      </c>
      <c r="K5" s="17" t="s">
        <v>25</v>
      </c>
      <c r="L5" s="9">
        <v>2167.94</v>
      </c>
      <c r="Q5">
        <v>3</v>
      </c>
      <c r="R5">
        <v>102</v>
      </c>
    </row>
    <row r="6" spans="1:27" x14ac:dyDescent="0.25">
      <c r="A6">
        <v>1061</v>
      </c>
      <c r="B6" s="1">
        <v>45009</v>
      </c>
      <c r="C6" t="s">
        <v>33</v>
      </c>
      <c r="D6" t="s">
        <v>34</v>
      </c>
      <c r="E6">
        <v>3750.2</v>
      </c>
      <c r="I6" s="16">
        <v>1061</v>
      </c>
      <c r="J6" s="9" t="s">
        <v>33</v>
      </c>
      <c r="K6" s="17" t="s">
        <v>34</v>
      </c>
      <c r="L6" s="9">
        <v>3750.2</v>
      </c>
      <c r="Q6">
        <v>4</v>
      </c>
      <c r="R6">
        <v>103</v>
      </c>
    </row>
    <row r="7" spans="1:27" x14ac:dyDescent="0.25">
      <c r="A7">
        <v>1021</v>
      </c>
      <c r="B7" s="1">
        <v>44968</v>
      </c>
      <c r="C7" t="s">
        <v>33</v>
      </c>
      <c r="D7" t="s">
        <v>21</v>
      </c>
      <c r="E7">
        <v>3761.15</v>
      </c>
      <c r="I7" s="16">
        <v>1021</v>
      </c>
      <c r="J7" s="9" t="s">
        <v>33</v>
      </c>
      <c r="K7" s="17" t="s">
        <v>21</v>
      </c>
      <c r="L7" s="9">
        <v>3761.15</v>
      </c>
      <c r="N7">
        <v>1</v>
      </c>
      <c r="O7">
        <v>100</v>
      </c>
      <c r="Q7">
        <v>5</v>
      </c>
      <c r="R7">
        <v>104</v>
      </c>
      <c r="T7">
        <v>1</v>
      </c>
      <c r="U7">
        <v>100</v>
      </c>
    </row>
    <row r="8" spans="1:27" x14ac:dyDescent="0.25">
      <c r="A8">
        <v>1083</v>
      </c>
      <c r="B8" s="1">
        <v>45027</v>
      </c>
      <c r="C8" t="s">
        <v>14</v>
      </c>
      <c r="D8" t="s">
        <v>21</v>
      </c>
      <c r="E8">
        <v>618.30999999999995</v>
      </c>
      <c r="I8" s="16">
        <v>1083</v>
      </c>
      <c r="J8" s="9" t="s">
        <v>14</v>
      </c>
      <c r="K8" s="17" t="s">
        <v>21</v>
      </c>
      <c r="L8" s="9">
        <v>618.30999999999995</v>
      </c>
      <c r="N8">
        <v>2</v>
      </c>
      <c r="O8">
        <v>101</v>
      </c>
      <c r="Q8">
        <v>6</v>
      </c>
      <c r="R8">
        <v>105</v>
      </c>
      <c r="T8">
        <v>2</v>
      </c>
      <c r="U8">
        <v>101</v>
      </c>
    </row>
    <row r="9" spans="1:27" x14ac:dyDescent="0.25">
      <c r="A9">
        <v>1087</v>
      </c>
      <c r="B9" s="1">
        <v>44932</v>
      </c>
      <c r="C9" t="s">
        <v>38</v>
      </c>
      <c r="D9" t="s">
        <v>25</v>
      </c>
      <c r="E9">
        <v>7698.92</v>
      </c>
      <c r="I9" s="16">
        <v>1087</v>
      </c>
      <c r="J9" s="9" t="s">
        <v>38</v>
      </c>
      <c r="K9" s="17" t="s">
        <v>25</v>
      </c>
      <c r="L9" s="9">
        <v>7698.92</v>
      </c>
      <c r="N9">
        <v>3</v>
      </c>
      <c r="O9">
        <v>102</v>
      </c>
      <c r="Q9">
        <v>7</v>
      </c>
      <c r="R9">
        <v>106</v>
      </c>
      <c r="T9">
        <v>3</v>
      </c>
      <c r="U9">
        <v>102</v>
      </c>
    </row>
    <row r="10" spans="1:27" x14ac:dyDescent="0.25">
      <c r="A10">
        <v>1075</v>
      </c>
      <c r="B10" s="1">
        <v>45106</v>
      </c>
      <c r="C10" t="s">
        <v>24</v>
      </c>
      <c r="D10" t="s">
        <v>25</v>
      </c>
      <c r="E10">
        <v>4223.3900000000003</v>
      </c>
      <c r="I10" s="16">
        <v>1075</v>
      </c>
      <c r="J10" s="9" t="s">
        <v>24</v>
      </c>
      <c r="K10" s="17" t="s">
        <v>25</v>
      </c>
      <c r="L10" s="9">
        <v>4223.3900000000003</v>
      </c>
      <c r="N10">
        <v>4</v>
      </c>
      <c r="O10">
        <v>103</v>
      </c>
      <c r="Q10">
        <v>8</v>
      </c>
      <c r="R10">
        <v>107</v>
      </c>
      <c r="T10">
        <v>4</v>
      </c>
      <c r="U10">
        <v>103</v>
      </c>
    </row>
    <row r="11" spans="1:27" x14ac:dyDescent="0.25">
      <c r="A11">
        <v>1075</v>
      </c>
      <c r="B11" s="1">
        <v>45208</v>
      </c>
      <c r="C11" t="s">
        <v>33</v>
      </c>
      <c r="D11" t="s">
        <v>21</v>
      </c>
      <c r="E11">
        <v>8239.58</v>
      </c>
      <c r="I11" s="16">
        <v>1075</v>
      </c>
      <c r="J11" s="9" t="s">
        <v>33</v>
      </c>
      <c r="K11" s="17" t="s">
        <v>21</v>
      </c>
      <c r="L11" s="9">
        <v>8239.58</v>
      </c>
      <c r="N11">
        <v>5</v>
      </c>
      <c r="O11">
        <v>104</v>
      </c>
      <c r="Q11">
        <v>9</v>
      </c>
      <c r="R11">
        <v>108</v>
      </c>
      <c r="T11">
        <v>5</v>
      </c>
      <c r="U11">
        <v>104</v>
      </c>
      <c r="W11">
        <v>1</v>
      </c>
      <c r="X11">
        <v>100</v>
      </c>
    </row>
    <row r="12" spans="1:27" x14ac:dyDescent="0.25">
      <c r="A12">
        <v>1088</v>
      </c>
      <c r="B12" s="1">
        <v>45246</v>
      </c>
      <c r="C12" t="s">
        <v>38</v>
      </c>
      <c r="D12" t="s">
        <v>15</v>
      </c>
      <c r="E12">
        <v>8518.4500000000007</v>
      </c>
      <c r="I12" s="16">
        <v>1088</v>
      </c>
      <c r="J12" s="9" t="s">
        <v>38</v>
      </c>
      <c r="K12" s="17" t="s">
        <v>15</v>
      </c>
      <c r="L12" s="9">
        <v>8518.4500000000007</v>
      </c>
      <c r="N12">
        <v>6</v>
      </c>
      <c r="O12">
        <v>105</v>
      </c>
      <c r="Q12">
        <v>10</v>
      </c>
      <c r="R12">
        <v>109</v>
      </c>
      <c r="T12">
        <v>6</v>
      </c>
      <c r="U12">
        <v>105</v>
      </c>
      <c r="V12">
        <v>100</v>
      </c>
      <c r="W12">
        <v>2</v>
      </c>
      <c r="X12">
        <v>101</v>
      </c>
    </row>
    <row r="13" spans="1:27" x14ac:dyDescent="0.25">
      <c r="A13">
        <v>1100</v>
      </c>
      <c r="B13" s="1">
        <v>45152</v>
      </c>
      <c r="C13" t="s">
        <v>14</v>
      </c>
      <c r="D13" t="s">
        <v>21</v>
      </c>
      <c r="E13">
        <v>2198.7399999999998</v>
      </c>
      <c r="I13" s="16">
        <v>1100</v>
      </c>
      <c r="J13" s="9" t="s">
        <v>14</v>
      </c>
      <c r="K13" s="17" t="s">
        <v>21</v>
      </c>
      <c r="L13" s="9">
        <v>2198.7399999999998</v>
      </c>
      <c r="N13">
        <v>7</v>
      </c>
      <c r="O13">
        <v>106</v>
      </c>
      <c r="T13">
        <v>7</v>
      </c>
      <c r="U13">
        <v>106</v>
      </c>
      <c r="V13">
        <v>101</v>
      </c>
      <c r="W13">
        <v>3</v>
      </c>
      <c r="X13">
        <v>102</v>
      </c>
    </row>
    <row r="14" spans="1:27" x14ac:dyDescent="0.25">
      <c r="A14">
        <v>1024</v>
      </c>
      <c r="B14" s="1">
        <v>45241</v>
      </c>
      <c r="C14" t="s">
        <v>38</v>
      </c>
      <c r="D14" t="s">
        <v>21</v>
      </c>
      <c r="E14">
        <v>6607.8</v>
      </c>
      <c r="I14" s="16">
        <v>1024</v>
      </c>
      <c r="J14" s="9" t="s">
        <v>38</v>
      </c>
      <c r="K14" s="17" t="s">
        <v>21</v>
      </c>
      <c r="L14" s="9">
        <v>6607.8</v>
      </c>
      <c r="N14">
        <v>8</v>
      </c>
      <c r="O14">
        <v>107</v>
      </c>
      <c r="T14">
        <v>8</v>
      </c>
      <c r="U14">
        <v>107</v>
      </c>
      <c r="V14">
        <v>102</v>
      </c>
      <c r="W14">
        <v>4</v>
      </c>
      <c r="X14">
        <v>103</v>
      </c>
    </row>
    <row r="15" spans="1:27" x14ac:dyDescent="0.25">
      <c r="A15">
        <v>1003</v>
      </c>
      <c r="B15" s="1">
        <v>45291</v>
      </c>
      <c r="C15" t="s">
        <v>42</v>
      </c>
      <c r="D15" t="s">
        <v>25</v>
      </c>
      <c r="E15">
        <v>4775.59</v>
      </c>
      <c r="I15" s="16">
        <v>1003</v>
      </c>
      <c r="J15" s="9" t="s">
        <v>42</v>
      </c>
      <c r="K15" s="17" t="s">
        <v>25</v>
      </c>
      <c r="L15" s="9">
        <v>4775.59</v>
      </c>
      <c r="N15">
        <v>9</v>
      </c>
      <c r="O15">
        <v>108</v>
      </c>
      <c r="T15">
        <v>9</v>
      </c>
      <c r="U15">
        <v>108</v>
      </c>
      <c r="V15">
        <v>103</v>
      </c>
      <c r="W15">
        <v>5</v>
      </c>
      <c r="X15">
        <v>104</v>
      </c>
      <c r="Z15">
        <v>1</v>
      </c>
      <c r="AA15">
        <v>100</v>
      </c>
    </row>
    <row r="16" spans="1:27" x14ac:dyDescent="0.25">
      <c r="A16">
        <v>1022</v>
      </c>
      <c r="B16" s="1">
        <v>45155</v>
      </c>
      <c r="C16" t="s">
        <v>33</v>
      </c>
      <c r="D16" t="s">
        <v>25</v>
      </c>
      <c r="E16">
        <v>8813.5499999999993</v>
      </c>
      <c r="I16" s="16">
        <v>1022</v>
      </c>
      <c r="J16" s="9" t="s">
        <v>33</v>
      </c>
      <c r="K16" s="17" t="s">
        <v>25</v>
      </c>
      <c r="L16" s="9">
        <v>8813.5499999999993</v>
      </c>
      <c r="N16">
        <v>10</v>
      </c>
      <c r="O16">
        <v>109</v>
      </c>
      <c r="T16">
        <v>10</v>
      </c>
      <c r="U16">
        <v>109</v>
      </c>
      <c r="V16">
        <v>104</v>
      </c>
      <c r="W16">
        <v>6</v>
      </c>
      <c r="X16">
        <v>105</v>
      </c>
      <c r="Z16">
        <v>2</v>
      </c>
      <c r="AA16">
        <v>101</v>
      </c>
    </row>
    <row r="17" spans="1:27" x14ac:dyDescent="0.25">
      <c r="A17">
        <v>1053</v>
      </c>
      <c r="B17" s="1">
        <v>45215</v>
      </c>
      <c r="C17" t="s">
        <v>14</v>
      </c>
      <c r="D17" t="s">
        <v>15</v>
      </c>
      <c r="E17">
        <v>2235.83</v>
      </c>
      <c r="I17" s="16">
        <v>1053</v>
      </c>
      <c r="J17" s="9" t="s">
        <v>14</v>
      </c>
      <c r="K17" s="17" t="s">
        <v>15</v>
      </c>
      <c r="L17" s="9">
        <v>2235.83</v>
      </c>
      <c r="U17">
        <v>6</v>
      </c>
      <c r="V17">
        <v>105</v>
      </c>
      <c r="W17">
        <v>7</v>
      </c>
      <c r="X17">
        <v>106</v>
      </c>
      <c r="Z17">
        <v>3</v>
      </c>
      <c r="AA17">
        <v>102</v>
      </c>
    </row>
    <row r="18" spans="1:27" x14ac:dyDescent="0.25">
      <c r="A18">
        <v>1002</v>
      </c>
      <c r="B18" s="1">
        <v>45076</v>
      </c>
      <c r="C18" t="s">
        <v>24</v>
      </c>
      <c r="D18" t="s">
        <v>15</v>
      </c>
      <c r="E18">
        <v>6810.35</v>
      </c>
      <c r="I18" s="16">
        <v>1002</v>
      </c>
      <c r="J18" s="9" t="s">
        <v>24</v>
      </c>
      <c r="K18" s="17" t="s">
        <v>15</v>
      </c>
      <c r="L18" s="9">
        <v>6810.35</v>
      </c>
      <c r="U18">
        <v>7</v>
      </c>
      <c r="V18">
        <v>106</v>
      </c>
      <c r="W18">
        <v>8</v>
      </c>
      <c r="X18">
        <v>107</v>
      </c>
      <c r="Z18">
        <v>4</v>
      </c>
      <c r="AA18">
        <v>103</v>
      </c>
    </row>
    <row r="19" spans="1:27" x14ac:dyDescent="0.25">
      <c r="A19">
        <v>1088</v>
      </c>
      <c r="B19" s="1">
        <v>45203</v>
      </c>
      <c r="C19" t="s">
        <v>14</v>
      </c>
      <c r="D19" t="s">
        <v>34</v>
      </c>
      <c r="E19">
        <v>6116.75</v>
      </c>
      <c r="I19" s="16">
        <v>1088</v>
      </c>
      <c r="J19" s="9" t="s">
        <v>14</v>
      </c>
      <c r="K19" s="17" t="s">
        <v>34</v>
      </c>
      <c r="L19" s="9">
        <v>6116.75</v>
      </c>
      <c r="U19">
        <v>8</v>
      </c>
      <c r="V19">
        <v>107</v>
      </c>
      <c r="W19">
        <v>9</v>
      </c>
      <c r="X19">
        <v>108</v>
      </c>
      <c r="Z19">
        <v>5</v>
      </c>
      <c r="AA19">
        <v>104</v>
      </c>
    </row>
    <row r="20" spans="1:27" x14ac:dyDescent="0.25">
      <c r="A20">
        <v>1030</v>
      </c>
      <c r="B20" s="1">
        <v>45124</v>
      </c>
      <c r="C20" t="s">
        <v>24</v>
      </c>
      <c r="D20" t="s">
        <v>21</v>
      </c>
      <c r="E20">
        <v>3023.48</v>
      </c>
      <c r="I20" s="16">
        <v>1030</v>
      </c>
      <c r="J20" s="9" t="s">
        <v>24</v>
      </c>
      <c r="K20" s="17" t="s">
        <v>21</v>
      </c>
      <c r="L20" s="9">
        <v>3023.48</v>
      </c>
      <c r="U20">
        <v>9</v>
      </c>
      <c r="V20">
        <v>108</v>
      </c>
      <c r="W20">
        <v>10</v>
      </c>
      <c r="X20">
        <v>109</v>
      </c>
      <c r="Z20">
        <v>6</v>
      </c>
      <c r="AA20">
        <v>105</v>
      </c>
    </row>
    <row r="21" spans="1:27" x14ac:dyDescent="0.25">
      <c r="A21">
        <v>1038</v>
      </c>
      <c r="B21" s="1">
        <v>44996</v>
      </c>
      <c r="C21" t="s">
        <v>14</v>
      </c>
      <c r="D21" t="s">
        <v>25</v>
      </c>
      <c r="E21">
        <v>1452.35</v>
      </c>
      <c r="I21" s="16">
        <v>1038</v>
      </c>
      <c r="J21" s="9" t="s">
        <v>14</v>
      </c>
      <c r="K21" s="17" t="s">
        <v>25</v>
      </c>
      <c r="L21" s="9">
        <v>1452.35</v>
      </c>
      <c r="U21">
        <v>10</v>
      </c>
      <c r="V21">
        <v>109</v>
      </c>
      <c r="Z21">
        <v>7</v>
      </c>
      <c r="AA21">
        <v>106</v>
      </c>
    </row>
    <row r="22" spans="1:27" x14ac:dyDescent="0.25">
      <c r="A22">
        <v>1002</v>
      </c>
      <c r="B22" s="1">
        <v>45038</v>
      </c>
      <c r="C22" t="s">
        <v>38</v>
      </c>
      <c r="D22" t="s">
        <v>15</v>
      </c>
      <c r="E22">
        <v>6551.23</v>
      </c>
      <c r="Z22">
        <v>8</v>
      </c>
      <c r="AA22">
        <v>107</v>
      </c>
    </row>
    <row r="23" spans="1:27" x14ac:dyDescent="0.25">
      <c r="A23">
        <v>1064</v>
      </c>
      <c r="B23" s="1">
        <v>44930</v>
      </c>
      <c r="C23" t="s">
        <v>38</v>
      </c>
      <c r="D23" t="s">
        <v>34</v>
      </c>
      <c r="E23">
        <v>7412.11</v>
      </c>
      <c r="O23">
        <v>1</v>
      </c>
      <c r="P23">
        <v>100</v>
      </c>
      <c r="Z23">
        <v>9</v>
      </c>
      <c r="AA23">
        <v>108</v>
      </c>
    </row>
    <row r="24" spans="1:27" x14ac:dyDescent="0.25">
      <c r="A24">
        <v>1060</v>
      </c>
      <c r="B24" s="1">
        <v>45276</v>
      </c>
      <c r="C24" t="s">
        <v>38</v>
      </c>
      <c r="D24" t="s">
        <v>34</v>
      </c>
      <c r="E24">
        <v>3224.71</v>
      </c>
      <c r="O24">
        <v>2</v>
      </c>
      <c r="P24">
        <v>101</v>
      </c>
      <c r="Z24">
        <v>10</v>
      </c>
      <c r="AA24">
        <v>109</v>
      </c>
    </row>
    <row r="25" spans="1:27" x14ac:dyDescent="0.25">
      <c r="A25">
        <v>1021</v>
      </c>
      <c r="B25" s="1">
        <v>45257</v>
      </c>
      <c r="C25" t="s">
        <v>42</v>
      </c>
      <c r="D25" t="s">
        <v>25</v>
      </c>
      <c r="E25">
        <v>6483.84</v>
      </c>
      <c r="O25">
        <v>3</v>
      </c>
      <c r="P25">
        <v>102</v>
      </c>
    </row>
    <row r="26" spans="1:27" x14ac:dyDescent="0.25">
      <c r="A26">
        <v>1033</v>
      </c>
      <c r="B26" s="1">
        <v>45244</v>
      </c>
      <c r="C26" t="s">
        <v>24</v>
      </c>
      <c r="D26" t="s">
        <v>25</v>
      </c>
      <c r="E26">
        <v>4011.8</v>
      </c>
      <c r="O26">
        <v>4</v>
      </c>
      <c r="P26">
        <v>103</v>
      </c>
    </row>
    <row r="27" spans="1:27" x14ac:dyDescent="0.25">
      <c r="O27">
        <v>5</v>
      </c>
      <c r="P27">
        <v>104</v>
      </c>
    </row>
    <row r="28" spans="1:27" x14ac:dyDescent="0.25">
      <c r="O28">
        <v>6</v>
      </c>
      <c r="P28">
        <v>105</v>
      </c>
    </row>
    <row r="29" spans="1:27" x14ac:dyDescent="0.25">
      <c r="O29">
        <v>7</v>
      </c>
      <c r="P29">
        <v>106</v>
      </c>
    </row>
    <row r="30" spans="1:27" x14ac:dyDescent="0.25">
      <c r="O30">
        <v>8</v>
      </c>
      <c r="P30">
        <v>107</v>
      </c>
    </row>
    <row r="31" spans="1:27" x14ac:dyDescent="0.25">
      <c r="O31">
        <v>9</v>
      </c>
      <c r="P31">
        <v>108</v>
      </c>
    </row>
    <row r="32" spans="1:27" x14ac:dyDescent="0.25">
      <c r="O32">
        <v>10</v>
      </c>
      <c r="P32">
        <v>109</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152FF-E800-4AEB-9BA1-292982F6170F}">
  <sheetPr codeName="Sheet7"/>
  <dimension ref="A1:AC41"/>
  <sheetViews>
    <sheetView topLeftCell="G1" workbookViewId="0">
      <selection activeCell="P60" sqref="P60"/>
    </sheetView>
  </sheetViews>
  <sheetFormatPr defaultRowHeight="15" x14ac:dyDescent="0.25"/>
  <cols>
    <col min="1" max="1" width="10.7109375" bestFit="1" customWidth="1"/>
    <col min="2" max="2" width="10.42578125" bestFit="1" customWidth="1"/>
    <col min="3" max="3" width="10" style="7" bestFit="1" customWidth="1"/>
    <col min="4" max="4" width="7.140625" style="7" bestFit="1" customWidth="1"/>
    <col min="5" max="5" width="13.85546875" bestFit="1" customWidth="1"/>
    <col min="6" max="6" width="13.7109375" bestFit="1" customWidth="1"/>
    <col min="7" max="7" width="16.85546875" style="7" bestFit="1" customWidth="1"/>
    <col min="8" max="8" width="9.5703125" bestFit="1" customWidth="1"/>
    <col min="9" max="9" width="16.28515625" customWidth="1"/>
    <col min="10" max="10" width="15" bestFit="1" customWidth="1"/>
    <col min="11" max="11" width="8.7109375" bestFit="1" customWidth="1"/>
    <col min="12" max="12" width="17" style="7" bestFit="1" customWidth="1"/>
    <col min="13" max="13" width="14" bestFit="1" customWidth="1"/>
    <col min="14" max="14" width="21.85546875" bestFit="1" customWidth="1"/>
    <col min="17" max="17" width="13.42578125" customWidth="1"/>
    <col min="18" max="18" width="14.7109375" customWidth="1"/>
  </cols>
  <sheetData>
    <row r="1" spans="1:29" x14ac:dyDescent="0.25">
      <c r="A1" t="s">
        <v>0</v>
      </c>
      <c r="B1" t="s">
        <v>1</v>
      </c>
      <c r="C1" s="7" t="s">
        <v>2</v>
      </c>
      <c r="D1" s="7" t="s">
        <v>3</v>
      </c>
      <c r="E1" t="s">
        <v>4</v>
      </c>
      <c r="F1" t="s">
        <v>5</v>
      </c>
      <c r="G1" s="7" t="s">
        <v>6</v>
      </c>
      <c r="H1" t="s">
        <v>7</v>
      </c>
      <c r="I1" t="s">
        <v>8</v>
      </c>
      <c r="J1" t="s">
        <v>9</v>
      </c>
      <c r="K1" t="s">
        <v>10</v>
      </c>
      <c r="L1" s="7" t="s">
        <v>11</v>
      </c>
      <c r="M1" t="s">
        <v>12</v>
      </c>
      <c r="N1" t="s">
        <v>13</v>
      </c>
      <c r="Q1" s="6" t="s">
        <v>65</v>
      </c>
      <c r="R1" s="6" t="s">
        <v>66</v>
      </c>
      <c r="S1" s="6" t="s">
        <v>67</v>
      </c>
      <c r="T1" s="6" t="s">
        <v>68</v>
      </c>
      <c r="U1" s="6"/>
      <c r="V1" s="6" t="s">
        <v>69</v>
      </c>
      <c r="W1" s="6" t="s">
        <v>71</v>
      </c>
    </row>
    <row r="2" spans="1:29" ht="90" x14ac:dyDescent="0.25">
      <c r="A2">
        <v>1052</v>
      </c>
      <c r="B2" s="1">
        <v>44960</v>
      </c>
      <c r="C2" s="7" t="s">
        <v>14</v>
      </c>
      <c r="D2" s="7" t="s">
        <v>15</v>
      </c>
      <c r="E2">
        <v>5053.97</v>
      </c>
      <c r="F2">
        <v>18</v>
      </c>
      <c r="G2" s="7" t="s">
        <v>16</v>
      </c>
      <c r="H2">
        <v>152.75</v>
      </c>
      <c r="I2">
        <v>267.22000000000003</v>
      </c>
      <c r="J2" t="s">
        <v>17</v>
      </c>
      <c r="K2">
        <v>0.09</v>
      </c>
      <c r="L2" s="7" t="s">
        <v>18</v>
      </c>
      <c r="M2" t="s">
        <v>19</v>
      </c>
      <c r="N2" t="s">
        <v>20</v>
      </c>
      <c r="Q2" t="e">
        <f>H2/0</f>
        <v>#DIV/0!</v>
      </c>
      <c r="R2">
        <v>152.75</v>
      </c>
      <c r="S2">
        <v>121.19</v>
      </c>
      <c r="T2" t="s">
        <v>63</v>
      </c>
      <c r="U2" t="s">
        <v>64</v>
      </c>
      <c r="V2" s="5" t="s">
        <v>70</v>
      </c>
      <c r="W2" s="23" t="s">
        <v>72</v>
      </c>
      <c r="X2" s="23"/>
      <c r="Y2" s="24"/>
      <c r="Z2" s="24"/>
      <c r="AA2" s="24"/>
      <c r="AB2" s="24"/>
      <c r="AC2" s="24"/>
    </row>
    <row r="3" spans="1:29" x14ac:dyDescent="0.25">
      <c r="A3">
        <v>1093</v>
      </c>
      <c r="B3" s="1">
        <v>45037</v>
      </c>
      <c r="C3" s="7" t="s">
        <v>14</v>
      </c>
      <c r="D3" s="7" t="s">
        <v>21</v>
      </c>
      <c r="E3">
        <v>4384.0200000000004</v>
      </c>
      <c r="F3">
        <v>17</v>
      </c>
      <c r="G3" s="7" t="s">
        <v>16</v>
      </c>
      <c r="H3">
        <v>3816.39</v>
      </c>
      <c r="I3">
        <v>4209.4399999999996</v>
      </c>
      <c r="J3" t="s">
        <v>17</v>
      </c>
      <c r="K3">
        <v>0.11</v>
      </c>
      <c r="L3" s="7" t="s">
        <v>18</v>
      </c>
      <c r="M3" t="s">
        <v>22</v>
      </c>
      <c r="N3" t="s">
        <v>23</v>
      </c>
      <c r="Q3" t="e">
        <f t="shared" ref="Q3:Q10" si="0">H3/0</f>
        <v>#DIV/0!</v>
      </c>
      <c r="R3">
        <v>152.75</v>
      </c>
      <c r="S3">
        <v>152.75</v>
      </c>
      <c r="T3" t="s">
        <v>74</v>
      </c>
      <c r="U3" t="s">
        <v>75</v>
      </c>
    </row>
    <row r="4" spans="1:29" x14ac:dyDescent="0.25">
      <c r="A4">
        <v>1015</v>
      </c>
      <c r="B4" s="1">
        <v>45190</v>
      </c>
      <c r="C4" s="7" t="s">
        <v>24</v>
      </c>
      <c r="D4" s="7" t="s">
        <v>25</v>
      </c>
      <c r="E4">
        <v>4631.2299999999996</v>
      </c>
      <c r="F4">
        <v>30</v>
      </c>
      <c r="G4" s="7" t="s">
        <v>26</v>
      </c>
      <c r="H4">
        <v>261.56</v>
      </c>
      <c r="I4">
        <v>371.4</v>
      </c>
      <c r="J4" t="s">
        <v>17</v>
      </c>
      <c r="K4">
        <v>0.2</v>
      </c>
      <c r="L4" s="7" t="s">
        <v>27</v>
      </c>
      <c r="M4" t="s">
        <v>22</v>
      </c>
      <c r="N4" t="s">
        <v>28</v>
      </c>
      <c r="Q4" t="e">
        <f t="shared" si="0"/>
        <v>#DIV/0!</v>
      </c>
      <c r="R4">
        <v>152.75</v>
      </c>
      <c r="S4">
        <v>261.56</v>
      </c>
      <c r="T4" t="s">
        <v>76</v>
      </c>
      <c r="U4" t="s">
        <v>77</v>
      </c>
    </row>
    <row r="5" spans="1:29" x14ac:dyDescent="0.25">
      <c r="A5">
        <v>1072</v>
      </c>
      <c r="B5" s="1">
        <v>45162</v>
      </c>
      <c r="C5" s="7" t="s">
        <v>14</v>
      </c>
      <c r="D5" s="7" t="s">
        <v>25</v>
      </c>
      <c r="E5">
        <v>2167.94</v>
      </c>
      <c r="F5">
        <v>39</v>
      </c>
      <c r="G5" s="7" t="s">
        <v>29</v>
      </c>
      <c r="H5">
        <v>4330.03</v>
      </c>
      <c r="I5">
        <v>4467.75</v>
      </c>
      <c r="J5" t="s">
        <v>30</v>
      </c>
      <c r="K5">
        <v>0.02</v>
      </c>
      <c r="L5" s="7" t="s">
        <v>31</v>
      </c>
      <c r="M5" t="s">
        <v>22</v>
      </c>
      <c r="N5" t="s">
        <v>32</v>
      </c>
      <c r="Q5" t="e">
        <f t="shared" si="0"/>
        <v>#DIV/0!</v>
      </c>
      <c r="R5">
        <v>152.75</v>
      </c>
      <c r="S5">
        <v>622.01</v>
      </c>
    </row>
    <row r="6" spans="1:29" x14ac:dyDescent="0.25">
      <c r="A6">
        <v>1061</v>
      </c>
      <c r="B6" s="1">
        <v>45009</v>
      </c>
      <c r="C6" s="7" t="s">
        <v>33</v>
      </c>
      <c r="D6" s="7" t="s">
        <v>34</v>
      </c>
      <c r="E6">
        <v>3750.2</v>
      </c>
      <c r="F6">
        <v>13</v>
      </c>
      <c r="G6" s="7" t="s">
        <v>35</v>
      </c>
      <c r="H6">
        <v>637.37</v>
      </c>
      <c r="I6">
        <v>692.71</v>
      </c>
      <c r="J6" t="s">
        <v>30</v>
      </c>
      <c r="K6">
        <v>0.08</v>
      </c>
      <c r="L6" s="7" t="s">
        <v>31</v>
      </c>
      <c r="M6" t="s">
        <v>19</v>
      </c>
      <c r="N6" t="s">
        <v>36</v>
      </c>
      <c r="Q6" t="e">
        <f t="shared" si="0"/>
        <v>#DIV/0!</v>
      </c>
      <c r="R6">
        <v>3816.39</v>
      </c>
      <c r="S6">
        <v>637.37</v>
      </c>
    </row>
    <row r="7" spans="1:29" x14ac:dyDescent="0.25">
      <c r="A7">
        <v>1021</v>
      </c>
      <c r="B7" s="1">
        <v>44968</v>
      </c>
      <c r="C7" s="7" t="s">
        <v>33</v>
      </c>
      <c r="D7" s="7" t="s">
        <v>21</v>
      </c>
      <c r="E7">
        <v>3761.15</v>
      </c>
      <c r="F7">
        <v>32</v>
      </c>
      <c r="G7" s="7" t="s">
        <v>26</v>
      </c>
      <c r="H7">
        <v>900.79</v>
      </c>
      <c r="I7">
        <v>1106.51</v>
      </c>
      <c r="J7" t="s">
        <v>30</v>
      </c>
      <c r="K7">
        <v>0.21</v>
      </c>
      <c r="L7" s="7" t="s">
        <v>18</v>
      </c>
      <c r="M7" t="s">
        <v>19</v>
      </c>
      <c r="N7" t="s">
        <v>37</v>
      </c>
      <c r="Q7" t="e">
        <f t="shared" si="0"/>
        <v>#DIV/0!</v>
      </c>
      <c r="R7">
        <v>261.56</v>
      </c>
      <c r="S7">
        <v>738.06</v>
      </c>
    </row>
    <row r="8" spans="1:29" x14ac:dyDescent="0.25">
      <c r="A8">
        <v>1083</v>
      </c>
      <c r="B8" s="1">
        <v>45027</v>
      </c>
      <c r="C8" s="7" t="s">
        <v>14</v>
      </c>
      <c r="D8" s="7" t="s">
        <v>21</v>
      </c>
      <c r="E8">
        <v>618.30999999999995</v>
      </c>
      <c r="F8">
        <v>29</v>
      </c>
      <c r="G8" s="7" t="s">
        <v>16</v>
      </c>
      <c r="H8">
        <v>2408.81</v>
      </c>
      <c r="I8">
        <v>2624.09</v>
      </c>
      <c r="J8" t="s">
        <v>17</v>
      </c>
      <c r="K8">
        <v>0.14000000000000001</v>
      </c>
      <c r="L8" s="7" t="s">
        <v>18</v>
      </c>
      <c r="M8" t="s">
        <v>19</v>
      </c>
      <c r="N8" t="s">
        <v>23</v>
      </c>
      <c r="Q8" t="e">
        <f t="shared" si="0"/>
        <v>#DIV/0!</v>
      </c>
      <c r="R8">
        <v>4330.03</v>
      </c>
      <c r="S8">
        <v>900.79</v>
      </c>
      <c r="T8" t="s">
        <v>78</v>
      </c>
      <c r="V8" t="s">
        <v>79</v>
      </c>
    </row>
    <row r="9" spans="1:29" x14ac:dyDescent="0.25">
      <c r="A9">
        <v>1087</v>
      </c>
      <c r="B9" s="1">
        <v>44932</v>
      </c>
      <c r="C9" s="7" t="s">
        <v>38</v>
      </c>
      <c r="D9" s="7" t="s">
        <v>25</v>
      </c>
      <c r="E9">
        <v>7698.92</v>
      </c>
      <c r="F9">
        <v>46</v>
      </c>
      <c r="G9" s="7" t="s">
        <v>16</v>
      </c>
      <c r="H9">
        <v>3702.51</v>
      </c>
      <c r="I9">
        <v>3964.65</v>
      </c>
      <c r="J9" t="s">
        <v>30</v>
      </c>
      <c r="K9">
        <v>0.12</v>
      </c>
      <c r="L9" s="7" t="s">
        <v>27</v>
      </c>
      <c r="M9" t="s">
        <v>19</v>
      </c>
      <c r="N9" t="s">
        <v>39</v>
      </c>
      <c r="Q9" t="e">
        <f t="shared" si="0"/>
        <v>#DIV/0!</v>
      </c>
      <c r="R9">
        <v>637.37</v>
      </c>
      <c r="S9">
        <v>1100.81</v>
      </c>
    </row>
    <row r="10" spans="1:29" x14ac:dyDescent="0.25">
      <c r="A10">
        <v>1075</v>
      </c>
      <c r="B10" s="1">
        <v>45106</v>
      </c>
      <c r="C10" s="7" t="s">
        <v>24</v>
      </c>
      <c r="D10" s="7" t="s">
        <v>25</v>
      </c>
      <c r="E10">
        <v>4223.3900000000003</v>
      </c>
      <c r="F10">
        <v>30</v>
      </c>
      <c r="G10" s="7" t="s">
        <v>16</v>
      </c>
      <c r="H10">
        <v>738.06</v>
      </c>
      <c r="I10">
        <v>1095.44999999999</v>
      </c>
      <c r="J10" t="s">
        <v>30</v>
      </c>
      <c r="K10">
        <v>0.05</v>
      </c>
      <c r="L10" s="7" t="s">
        <v>27</v>
      </c>
      <c r="M10" t="s">
        <v>19</v>
      </c>
      <c r="N10" t="s">
        <v>28</v>
      </c>
      <c r="Q10" t="e">
        <f t="shared" si="0"/>
        <v>#DIV/0!</v>
      </c>
      <c r="R10">
        <v>900.79</v>
      </c>
      <c r="S10">
        <v>2228.35</v>
      </c>
      <c r="T10" t="s">
        <v>80</v>
      </c>
      <c r="U10" t="s">
        <v>81</v>
      </c>
      <c r="Y10" t="s">
        <v>84</v>
      </c>
    </row>
    <row r="11" spans="1:29" x14ac:dyDescent="0.25">
      <c r="A11">
        <v>1075</v>
      </c>
      <c r="B11" s="1">
        <v>45208</v>
      </c>
      <c r="C11" s="7" t="s">
        <v>33</v>
      </c>
      <c r="D11" s="7" t="s">
        <v>21</v>
      </c>
      <c r="E11">
        <v>8239.58</v>
      </c>
      <c r="F11">
        <v>18</v>
      </c>
      <c r="G11" s="7" t="s">
        <v>29</v>
      </c>
      <c r="H11">
        <v>2228.35</v>
      </c>
      <c r="I11">
        <v>2682.34</v>
      </c>
      <c r="J11" t="s">
        <v>30</v>
      </c>
      <c r="K11">
        <v>0.13</v>
      </c>
      <c r="L11" s="7" t="s">
        <v>27</v>
      </c>
      <c r="M11" t="s">
        <v>19</v>
      </c>
      <c r="N11" t="s">
        <v>37</v>
      </c>
      <c r="R11">
        <v>2408.81</v>
      </c>
      <c r="S11">
        <v>2408.81</v>
      </c>
      <c r="Y11">
        <v>17</v>
      </c>
    </row>
    <row r="12" spans="1:29" x14ac:dyDescent="0.25">
      <c r="A12">
        <v>1088</v>
      </c>
      <c r="B12" s="1">
        <v>45246</v>
      </c>
      <c r="C12" s="7" t="s">
        <v>38</v>
      </c>
      <c r="D12" s="7" t="s">
        <v>15</v>
      </c>
      <c r="E12">
        <v>8518.4500000000007</v>
      </c>
      <c r="F12">
        <v>13</v>
      </c>
      <c r="G12" s="7" t="s">
        <v>16</v>
      </c>
      <c r="H12">
        <v>2440.11</v>
      </c>
      <c r="I12">
        <v>2517.6</v>
      </c>
      <c r="J12" t="s">
        <v>30</v>
      </c>
      <c r="K12">
        <v>0.23</v>
      </c>
      <c r="L12" s="7" t="s">
        <v>27</v>
      </c>
      <c r="M12" t="s">
        <v>22</v>
      </c>
      <c r="N12" t="s">
        <v>40</v>
      </c>
      <c r="R12">
        <v>3702.51</v>
      </c>
      <c r="S12">
        <v>2440.11</v>
      </c>
      <c r="T12" t="s">
        <v>82</v>
      </c>
      <c r="U12" t="s">
        <v>83</v>
      </c>
      <c r="Y12">
        <v>17</v>
      </c>
    </row>
    <row r="13" spans="1:29" x14ac:dyDescent="0.25">
      <c r="A13">
        <v>1100</v>
      </c>
      <c r="B13" s="1">
        <v>45152</v>
      </c>
      <c r="C13" s="7" t="s">
        <v>14</v>
      </c>
      <c r="D13" s="7" t="s">
        <v>21</v>
      </c>
      <c r="E13">
        <v>2198.7399999999998</v>
      </c>
      <c r="F13">
        <v>43</v>
      </c>
      <c r="G13" s="7" t="s">
        <v>26</v>
      </c>
      <c r="H13">
        <v>1100.81</v>
      </c>
      <c r="I13">
        <v>1137.44</v>
      </c>
      <c r="J13" t="s">
        <v>17</v>
      </c>
      <c r="K13">
        <v>0.08</v>
      </c>
      <c r="L13" s="7" t="s">
        <v>27</v>
      </c>
      <c r="M13" t="s">
        <v>19</v>
      </c>
      <c r="N13" t="s">
        <v>23</v>
      </c>
      <c r="R13">
        <v>738.06</v>
      </c>
      <c r="S13">
        <v>2537.1999999999998</v>
      </c>
      <c r="Y13">
        <v>17</v>
      </c>
    </row>
    <row r="14" spans="1:29" x14ac:dyDescent="0.25">
      <c r="A14">
        <v>1024</v>
      </c>
      <c r="B14" s="1">
        <v>45241</v>
      </c>
      <c r="C14" s="7" t="s">
        <v>38</v>
      </c>
      <c r="D14" s="7" t="s">
        <v>21</v>
      </c>
      <c r="E14">
        <v>6607.8</v>
      </c>
      <c r="F14">
        <v>21</v>
      </c>
      <c r="G14" s="7" t="s">
        <v>26</v>
      </c>
      <c r="H14">
        <v>622.01</v>
      </c>
      <c r="I14">
        <v>641.09</v>
      </c>
      <c r="J14" t="s">
        <v>17</v>
      </c>
      <c r="K14">
        <v>0</v>
      </c>
      <c r="L14" s="7" t="s">
        <v>27</v>
      </c>
      <c r="M14" t="s">
        <v>22</v>
      </c>
      <c r="N14" t="s">
        <v>41</v>
      </c>
      <c r="R14">
        <v>2228.35</v>
      </c>
      <c r="S14">
        <v>2543.36</v>
      </c>
      <c r="Y14">
        <v>17</v>
      </c>
    </row>
    <row r="15" spans="1:29" x14ac:dyDescent="0.25">
      <c r="A15">
        <v>1003</v>
      </c>
      <c r="B15" s="1">
        <v>45291</v>
      </c>
      <c r="C15" s="7" t="s">
        <v>42</v>
      </c>
      <c r="D15" s="7" t="s">
        <v>25</v>
      </c>
      <c r="E15">
        <v>4775.59</v>
      </c>
      <c r="F15">
        <v>30</v>
      </c>
      <c r="G15" s="7" t="s">
        <v>16</v>
      </c>
      <c r="H15">
        <v>4190.28</v>
      </c>
      <c r="I15">
        <v>4270.6499999999996</v>
      </c>
      <c r="J15" t="s">
        <v>30</v>
      </c>
      <c r="K15">
        <v>0.2</v>
      </c>
      <c r="L15" s="7" t="s">
        <v>18</v>
      </c>
      <c r="M15" t="s">
        <v>19</v>
      </c>
      <c r="N15" t="s">
        <v>43</v>
      </c>
      <c r="R15">
        <v>2440.11</v>
      </c>
      <c r="S15">
        <v>3049.33</v>
      </c>
      <c r="Y15">
        <v>17</v>
      </c>
    </row>
    <row r="16" spans="1:29" x14ac:dyDescent="0.25">
      <c r="A16">
        <v>1022</v>
      </c>
      <c r="B16" s="1">
        <v>45155</v>
      </c>
      <c r="C16" s="7" t="s">
        <v>33</v>
      </c>
      <c r="D16" s="7" t="s">
        <v>25</v>
      </c>
      <c r="E16">
        <v>8813.5499999999993</v>
      </c>
      <c r="F16">
        <v>21</v>
      </c>
      <c r="G16" s="7" t="s">
        <v>26</v>
      </c>
      <c r="H16">
        <v>2537.1999999999998</v>
      </c>
      <c r="I16">
        <v>2869.6</v>
      </c>
      <c r="J16" t="s">
        <v>30</v>
      </c>
      <c r="K16">
        <v>0.28999999999999998</v>
      </c>
      <c r="L16" s="7" t="s">
        <v>27</v>
      </c>
      <c r="M16" t="s">
        <v>22</v>
      </c>
      <c r="N16" t="s">
        <v>44</v>
      </c>
      <c r="R16">
        <v>1100.81</v>
      </c>
      <c r="S16">
        <v>3702.51</v>
      </c>
      <c r="Y16">
        <v>17</v>
      </c>
    </row>
    <row r="17" spans="1:26" x14ac:dyDescent="0.25">
      <c r="A17">
        <v>1053</v>
      </c>
      <c r="B17" s="1">
        <v>45215</v>
      </c>
      <c r="C17" s="7" t="s">
        <v>14</v>
      </c>
      <c r="D17" s="7" t="s">
        <v>15</v>
      </c>
      <c r="E17">
        <v>2235.83</v>
      </c>
      <c r="F17">
        <v>48</v>
      </c>
      <c r="G17" s="7" t="s">
        <v>16</v>
      </c>
      <c r="H17">
        <v>121.19</v>
      </c>
      <c r="I17">
        <v>487.65</v>
      </c>
      <c r="J17" t="s">
        <v>30</v>
      </c>
      <c r="K17">
        <v>0.18</v>
      </c>
      <c r="L17" s="7" t="s">
        <v>18</v>
      </c>
      <c r="M17" t="s">
        <v>22</v>
      </c>
      <c r="N17" t="s">
        <v>20</v>
      </c>
      <c r="R17">
        <v>622.01</v>
      </c>
      <c r="S17">
        <v>3816.39</v>
      </c>
      <c r="Y17">
        <v>17</v>
      </c>
      <c r="Z17">
        <v>9</v>
      </c>
    </row>
    <row r="18" spans="1:26" x14ac:dyDescent="0.25">
      <c r="A18">
        <v>1002</v>
      </c>
      <c r="B18" s="1">
        <v>45076</v>
      </c>
      <c r="C18" s="7" t="s">
        <v>24</v>
      </c>
      <c r="D18" s="7" t="s">
        <v>15</v>
      </c>
      <c r="E18">
        <v>6810.35</v>
      </c>
      <c r="F18">
        <v>17</v>
      </c>
      <c r="G18" s="7" t="s">
        <v>16</v>
      </c>
      <c r="H18">
        <v>4024.76</v>
      </c>
      <c r="I18">
        <v>4420.1499999999996</v>
      </c>
      <c r="J18" t="s">
        <v>17</v>
      </c>
      <c r="K18">
        <v>0.04</v>
      </c>
      <c r="L18" s="7" t="s">
        <v>18</v>
      </c>
      <c r="M18" t="s">
        <v>19</v>
      </c>
      <c r="N18" t="s">
        <v>45</v>
      </c>
      <c r="R18">
        <v>4190.28</v>
      </c>
      <c r="S18">
        <v>4024.76</v>
      </c>
      <c r="Y18">
        <v>17</v>
      </c>
    </row>
    <row r="19" spans="1:26" x14ac:dyDescent="0.25">
      <c r="A19">
        <v>1088</v>
      </c>
      <c r="B19" s="1">
        <v>45203</v>
      </c>
      <c r="C19" s="7" t="s">
        <v>14</v>
      </c>
      <c r="D19" s="7" t="s">
        <v>34</v>
      </c>
      <c r="E19">
        <v>6116.75</v>
      </c>
      <c r="F19">
        <v>40</v>
      </c>
      <c r="G19" s="7" t="s">
        <v>35</v>
      </c>
      <c r="H19">
        <v>4904.93</v>
      </c>
      <c r="I19">
        <v>5034.3500000000004</v>
      </c>
      <c r="J19" t="s">
        <v>30</v>
      </c>
      <c r="K19">
        <v>0.1</v>
      </c>
      <c r="L19" s="7" t="s">
        <v>31</v>
      </c>
      <c r="M19" t="s">
        <v>22</v>
      </c>
      <c r="N19" t="s">
        <v>46</v>
      </c>
      <c r="R19">
        <v>2537.1999999999998</v>
      </c>
      <c r="S19">
        <v>4190.28</v>
      </c>
      <c r="Y19">
        <v>17</v>
      </c>
      <c r="Z19">
        <v>5</v>
      </c>
    </row>
    <row r="20" spans="1:26" x14ac:dyDescent="0.25">
      <c r="A20">
        <v>1030</v>
      </c>
      <c r="B20" s="1">
        <v>45124</v>
      </c>
      <c r="C20" s="7" t="s">
        <v>24</v>
      </c>
      <c r="D20" s="7" t="s">
        <v>21</v>
      </c>
      <c r="E20">
        <v>3023.48</v>
      </c>
      <c r="F20">
        <v>19</v>
      </c>
      <c r="G20" s="7" t="s">
        <v>29</v>
      </c>
      <c r="H20">
        <v>3049.33</v>
      </c>
      <c r="I20">
        <v>3209.22</v>
      </c>
      <c r="J20" t="s">
        <v>17</v>
      </c>
      <c r="K20">
        <v>0.26</v>
      </c>
      <c r="L20" s="7" t="s">
        <v>18</v>
      </c>
      <c r="M20" t="s">
        <v>19</v>
      </c>
      <c r="N20" t="s">
        <v>47</v>
      </c>
      <c r="R20">
        <v>3</v>
      </c>
      <c r="S20">
        <v>4330.03</v>
      </c>
      <c r="Y20">
        <v>17</v>
      </c>
    </row>
    <row r="21" spans="1:26" x14ac:dyDescent="0.25">
      <c r="A21">
        <v>1038</v>
      </c>
      <c r="B21" s="1">
        <v>44996</v>
      </c>
      <c r="C21" s="7" t="s">
        <v>14</v>
      </c>
      <c r="D21" s="7" t="s">
        <v>25</v>
      </c>
      <c r="E21">
        <v>1452.35</v>
      </c>
      <c r="F21">
        <v>15</v>
      </c>
      <c r="G21" s="7" t="s">
        <v>29</v>
      </c>
      <c r="H21">
        <v>2543.36</v>
      </c>
      <c r="I21">
        <v>2790.1</v>
      </c>
      <c r="J21" t="s">
        <v>17</v>
      </c>
      <c r="K21">
        <v>7.0000000000000007E-2</v>
      </c>
      <c r="L21" s="7" t="s">
        <v>18</v>
      </c>
      <c r="M21" t="s">
        <v>19</v>
      </c>
      <c r="N21" t="s">
        <v>32</v>
      </c>
      <c r="R21">
        <v>888</v>
      </c>
      <c r="S21">
        <v>4398.16</v>
      </c>
      <c r="Y21">
        <v>17</v>
      </c>
    </row>
    <row r="22" spans="1:26" x14ac:dyDescent="0.25">
      <c r="A22">
        <v>1002</v>
      </c>
      <c r="B22" s="1">
        <v>45038</v>
      </c>
      <c r="C22" s="7" t="s">
        <v>38</v>
      </c>
      <c r="D22" s="7" t="s">
        <v>15</v>
      </c>
      <c r="E22">
        <v>6551.23</v>
      </c>
      <c r="F22">
        <v>9</v>
      </c>
      <c r="G22" s="7" t="s">
        <v>35</v>
      </c>
      <c r="H22">
        <v>4398.16</v>
      </c>
      <c r="I22">
        <v>4439.12</v>
      </c>
      <c r="J22" t="s">
        <v>30</v>
      </c>
      <c r="K22">
        <v>0.18</v>
      </c>
      <c r="L22" s="7" t="s">
        <v>27</v>
      </c>
      <c r="M22" t="s">
        <v>19</v>
      </c>
      <c r="N22" t="s">
        <v>40</v>
      </c>
      <c r="R22">
        <v>1001</v>
      </c>
      <c r="S22">
        <v>4904.93</v>
      </c>
      <c r="Y22">
        <v>17</v>
      </c>
    </row>
    <row r="23" spans="1:26" x14ac:dyDescent="0.25">
      <c r="A23">
        <v>1064</v>
      </c>
      <c r="B23" s="1">
        <v>44930</v>
      </c>
      <c r="C23" s="7" t="s">
        <v>38</v>
      </c>
      <c r="D23" s="7" t="s">
        <v>34</v>
      </c>
      <c r="E23">
        <v>7412.11</v>
      </c>
      <c r="F23">
        <v>10</v>
      </c>
      <c r="G23" s="7" t="s">
        <v>35</v>
      </c>
      <c r="H23">
        <v>4764.96</v>
      </c>
      <c r="I23">
        <v>5074.42</v>
      </c>
      <c r="J23" t="s">
        <v>30</v>
      </c>
      <c r="K23">
        <v>0.12</v>
      </c>
      <c r="L23" s="7">
        <v>0</v>
      </c>
      <c r="M23" t="s">
        <v>19</v>
      </c>
      <c r="N23" t="s">
        <v>48</v>
      </c>
    </row>
    <row r="24" spans="1:26" x14ac:dyDescent="0.25">
      <c r="A24">
        <v>1060</v>
      </c>
      <c r="B24" s="1">
        <v>45276</v>
      </c>
      <c r="C24" s="7" t="s">
        <v>38</v>
      </c>
      <c r="D24" s="7" t="s">
        <v>34</v>
      </c>
      <c r="E24">
        <v>3224.71</v>
      </c>
      <c r="F24">
        <v>44</v>
      </c>
      <c r="G24" s="7" t="s">
        <v>29</v>
      </c>
      <c r="H24">
        <v>3784.96</v>
      </c>
      <c r="I24">
        <v>4276.99</v>
      </c>
      <c r="J24" t="s">
        <v>30</v>
      </c>
      <c r="K24">
        <v>0.06</v>
      </c>
      <c r="L24" s="7" t="s">
        <v>27</v>
      </c>
      <c r="M24" t="s">
        <v>22</v>
      </c>
      <c r="N24" t="s">
        <v>48</v>
      </c>
    </row>
    <row r="25" spans="1:26" x14ac:dyDescent="0.25">
      <c r="A25">
        <v>1021</v>
      </c>
      <c r="B25" s="1">
        <v>45257</v>
      </c>
      <c r="C25" s="7" t="s">
        <v>42</v>
      </c>
      <c r="D25" s="7" t="s">
        <v>25</v>
      </c>
      <c r="E25">
        <v>6483.84</v>
      </c>
      <c r="F25">
        <v>31</v>
      </c>
      <c r="G25" s="7" t="s">
        <v>16</v>
      </c>
      <c r="H25">
        <v>2254.9899999999998</v>
      </c>
      <c r="I25">
        <v>2441.79</v>
      </c>
      <c r="J25" t="s">
        <v>17</v>
      </c>
      <c r="K25">
        <v>0.24</v>
      </c>
      <c r="L25" s="7" t="s">
        <v>27</v>
      </c>
      <c r="M25" t="s">
        <v>19</v>
      </c>
      <c r="N25" t="s">
        <v>43</v>
      </c>
    </row>
    <row r="26" spans="1:26" x14ac:dyDescent="0.25">
      <c r="A26">
        <v>1033</v>
      </c>
      <c r="B26" s="1">
        <v>45244</v>
      </c>
      <c r="C26" s="7" t="s">
        <v>24</v>
      </c>
      <c r="D26" s="7" t="s">
        <v>25</v>
      </c>
      <c r="E26">
        <v>4011.8</v>
      </c>
      <c r="F26">
        <v>23</v>
      </c>
      <c r="G26" s="7" t="s">
        <v>16</v>
      </c>
      <c r="H26">
        <v>2981.5</v>
      </c>
      <c r="I26">
        <v>3360.4</v>
      </c>
      <c r="J26" t="s">
        <v>17</v>
      </c>
      <c r="K26">
        <v>0.22</v>
      </c>
      <c r="L26" s="7" t="s">
        <v>27</v>
      </c>
      <c r="M26" t="s">
        <v>22</v>
      </c>
      <c r="N26" t="s">
        <v>28</v>
      </c>
    </row>
    <row r="27" spans="1:26" x14ac:dyDescent="0.25">
      <c r="A27">
        <v>1076</v>
      </c>
      <c r="B27" s="1">
        <v>45276</v>
      </c>
      <c r="C27" s="7" t="s">
        <v>38</v>
      </c>
      <c r="D27" s="7" t="s">
        <v>34</v>
      </c>
      <c r="E27">
        <v>7160.75</v>
      </c>
      <c r="F27">
        <v>30</v>
      </c>
      <c r="G27" s="7" t="s">
        <v>29</v>
      </c>
      <c r="H27">
        <v>3519.63</v>
      </c>
      <c r="I27">
        <v>3774.65</v>
      </c>
      <c r="J27" t="s">
        <v>30</v>
      </c>
      <c r="K27">
        <v>0.2</v>
      </c>
      <c r="L27" s="7" t="s">
        <v>31</v>
      </c>
      <c r="M27" t="s">
        <v>22</v>
      </c>
      <c r="N27" t="s">
        <v>48</v>
      </c>
    </row>
    <row r="28" spans="1:26" x14ac:dyDescent="0.25">
      <c r="A28">
        <v>1058</v>
      </c>
      <c r="B28" s="1">
        <v>45021</v>
      </c>
      <c r="C28" s="7" t="s">
        <v>42</v>
      </c>
      <c r="D28" s="7" t="s">
        <v>15</v>
      </c>
      <c r="E28">
        <v>2072.23</v>
      </c>
      <c r="F28">
        <v>33</v>
      </c>
      <c r="G28" s="7" t="s">
        <v>16</v>
      </c>
      <c r="H28">
        <v>1011.65</v>
      </c>
      <c r="I28">
        <v>1084.28</v>
      </c>
      <c r="J28" t="s">
        <v>17</v>
      </c>
      <c r="K28">
        <v>7.0000000000000007E-2</v>
      </c>
      <c r="L28" s="7" t="s">
        <v>27</v>
      </c>
      <c r="M28" t="s">
        <v>22</v>
      </c>
      <c r="N28" t="s">
        <v>49</v>
      </c>
    </row>
    <row r="29" spans="1:26" x14ac:dyDescent="0.25">
      <c r="A29">
        <v>1022</v>
      </c>
      <c r="B29" s="1">
        <v>45078</v>
      </c>
      <c r="C29" s="7" t="s">
        <v>24</v>
      </c>
      <c r="D29" s="7" t="s">
        <v>34</v>
      </c>
      <c r="E29">
        <v>8913.1299999999992</v>
      </c>
      <c r="F29">
        <v>9</v>
      </c>
      <c r="G29" s="7" t="s">
        <v>35</v>
      </c>
      <c r="H29">
        <v>2263.65</v>
      </c>
      <c r="I29">
        <v>2558.9499999999998</v>
      </c>
      <c r="J29" t="s">
        <v>30</v>
      </c>
      <c r="K29">
        <v>0.03</v>
      </c>
      <c r="L29" s="7" t="s">
        <v>18</v>
      </c>
      <c r="M29" t="s">
        <v>19</v>
      </c>
      <c r="N29" t="s">
        <v>50</v>
      </c>
    </row>
    <row r="30" spans="1:26" x14ac:dyDescent="0.25">
      <c r="A30">
        <v>1089</v>
      </c>
      <c r="B30" s="1">
        <v>45237</v>
      </c>
      <c r="C30" s="7" t="s">
        <v>14</v>
      </c>
      <c r="D30" s="7" t="s">
        <v>21</v>
      </c>
      <c r="E30">
        <v>2945.36</v>
      </c>
      <c r="F30">
        <v>47</v>
      </c>
      <c r="G30" s="7" t="s">
        <v>16</v>
      </c>
      <c r="H30">
        <v>4157.62</v>
      </c>
      <c r="I30">
        <v>4314.5599999999904</v>
      </c>
      <c r="J30" t="s">
        <v>30</v>
      </c>
      <c r="K30">
        <v>0.17</v>
      </c>
      <c r="L30" s="7" t="s">
        <v>27</v>
      </c>
      <c r="M30" t="s">
        <v>22</v>
      </c>
      <c r="N30" t="s">
        <v>23</v>
      </c>
    </row>
    <row r="31" spans="1:26" x14ac:dyDescent="0.25">
      <c r="A31">
        <v>1049</v>
      </c>
      <c r="B31" s="1">
        <v>45063</v>
      </c>
      <c r="C31" s="7" t="s">
        <v>42</v>
      </c>
      <c r="D31" s="7" t="s">
        <v>21</v>
      </c>
      <c r="E31">
        <v>3741.08</v>
      </c>
      <c r="F31">
        <v>1</v>
      </c>
      <c r="G31" s="7" t="s">
        <v>16</v>
      </c>
      <c r="H31">
        <v>3290.89</v>
      </c>
      <c r="I31" t="s">
        <v>73</v>
      </c>
      <c r="J31" t="s">
        <v>17</v>
      </c>
      <c r="L31" s="7" t="s">
        <v>27</v>
      </c>
      <c r="M31" t="s">
        <v>19</v>
      </c>
      <c r="N31" t="s">
        <v>51</v>
      </c>
    </row>
    <row r="34" spans="2:20" x14ac:dyDescent="0.25">
      <c r="K34" s="9"/>
      <c r="L34" s="10" t="s">
        <v>99</v>
      </c>
      <c r="N34" t="s">
        <v>85</v>
      </c>
      <c r="O34" s="12" t="s">
        <v>91</v>
      </c>
      <c r="P34" s="12" t="s">
        <v>92</v>
      </c>
      <c r="Q34" s="12" t="s">
        <v>93</v>
      </c>
      <c r="R34" s="12" t="s">
        <v>94</v>
      </c>
      <c r="S34" s="12" t="s">
        <v>100</v>
      </c>
      <c r="T34" s="12" t="s">
        <v>95</v>
      </c>
    </row>
    <row r="35" spans="2:20" x14ac:dyDescent="0.25">
      <c r="G35" s="7" t="s">
        <v>98</v>
      </c>
      <c r="K35" s="11" t="s">
        <v>86</v>
      </c>
      <c r="L35" s="11">
        <f>H37</f>
        <v>75.5</v>
      </c>
      <c r="N35" t="s">
        <v>86</v>
      </c>
      <c r="O35" s="13">
        <v>78</v>
      </c>
      <c r="P35" s="13">
        <v>74</v>
      </c>
      <c r="Q35" s="13">
        <v>80</v>
      </c>
      <c r="R35" s="13">
        <v>70</v>
      </c>
      <c r="S35" s="13">
        <v>90</v>
      </c>
      <c r="T35" s="14">
        <f>AVERAGE(O35:S35)</f>
        <v>78.400000000000006</v>
      </c>
    </row>
    <row r="36" spans="2:20" x14ac:dyDescent="0.25">
      <c r="B36" t="s">
        <v>85</v>
      </c>
      <c r="C36" s="7" t="s">
        <v>91</v>
      </c>
      <c r="D36" s="7" t="s">
        <v>92</v>
      </c>
      <c r="E36" t="s">
        <v>93</v>
      </c>
      <c r="F36" t="s">
        <v>94</v>
      </c>
      <c r="G36" s="7" t="s">
        <v>96</v>
      </c>
      <c r="H36" s="7" t="s">
        <v>95</v>
      </c>
      <c r="I36" s="7" t="s">
        <v>97</v>
      </c>
      <c r="K36" s="11">
        <v>70</v>
      </c>
      <c r="L36" s="11">
        <f t="dataTable" ref="L36:L41" dt2D="0" dtr="0" r1="G37"/>
        <v>74.400000000000006</v>
      </c>
      <c r="N36" t="s">
        <v>87</v>
      </c>
      <c r="O36" s="13">
        <v>90</v>
      </c>
      <c r="P36" s="13">
        <v>60</v>
      </c>
      <c r="Q36" s="13">
        <v>56</v>
      </c>
      <c r="R36" s="13">
        <v>60</v>
      </c>
      <c r="S36" s="13">
        <v>90</v>
      </c>
      <c r="T36" s="14">
        <f t="shared" ref="T36:T39" si="1">AVERAGE(O36:S36)</f>
        <v>71.2</v>
      </c>
    </row>
    <row r="37" spans="2:20" x14ac:dyDescent="0.25">
      <c r="B37" t="s">
        <v>86</v>
      </c>
      <c r="C37" s="7">
        <v>78</v>
      </c>
      <c r="D37" s="7">
        <v>74</v>
      </c>
      <c r="E37">
        <v>80</v>
      </c>
      <c r="F37">
        <v>70</v>
      </c>
      <c r="H37" s="8">
        <f>AVERAGE(C37:G37)</f>
        <v>75.5</v>
      </c>
      <c r="I37">
        <v>88</v>
      </c>
      <c r="K37" s="11">
        <v>75</v>
      </c>
      <c r="L37" s="11">
        <v>75.400000000000006</v>
      </c>
      <c r="N37" t="s">
        <v>88</v>
      </c>
      <c r="O37" s="13">
        <v>87</v>
      </c>
      <c r="P37" s="13">
        <v>77</v>
      </c>
      <c r="Q37" s="13">
        <v>73</v>
      </c>
      <c r="R37" s="13">
        <v>89</v>
      </c>
      <c r="S37" s="13">
        <v>90</v>
      </c>
      <c r="T37" s="14">
        <f t="shared" si="1"/>
        <v>83.2</v>
      </c>
    </row>
    <row r="38" spans="2:20" x14ac:dyDescent="0.25">
      <c r="B38" t="s">
        <v>87</v>
      </c>
      <c r="C38" s="7">
        <v>90</v>
      </c>
      <c r="D38" s="7">
        <v>60</v>
      </c>
      <c r="E38">
        <v>56</v>
      </c>
      <c r="F38">
        <v>60</v>
      </c>
      <c r="G38" s="7">
        <v>118.99999999999999</v>
      </c>
      <c r="H38" s="8">
        <f>AVERAGE(C38:G38)</f>
        <v>77</v>
      </c>
      <c r="I38">
        <v>77</v>
      </c>
      <c r="K38" s="11">
        <v>80</v>
      </c>
      <c r="L38" s="11">
        <v>76.400000000000006</v>
      </c>
      <c r="N38" t="s">
        <v>89</v>
      </c>
      <c r="O38" s="13">
        <v>67</v>
      </c>
      <c r="P38" s="13">
        <v>48</v>
      </c>
      <c r="Q38" s="13">
        <v>88</v>
      </c>
      <c r="R38" s="13">
        <v>77</v>
      </c>
      <c r="S38" s="13">
        <v>90</v>
      </c>
      <c r="T38" s="14">
        <f t="shared" si="1"/>
        <v>74</v>
      </c>
    </row>
    <row r="39" spans="2:20" x14ac:dyDescent="0.25">
      <c r="B39" t="s">
        <v>88</v>
      </c>
      <c r="C39" s="7">
        <v>87</v>
      </c>
      <c r="D39" s="7">
        <v>77</v>
      </c>
      <c r="E39">
        <v>73</v>
      </c>
      <c r="F39">
        <v>89</v>
      </c>
      <c r="G39" s="7">
        <v>149</v>
      </c>
      <c r="H39" s="8">
        <f>AVERAGE(C39:G39)</f>
        <v>95</v>
      </c>
      <c r="I39">
        <v>95</v>
      </c>
      <c r="K39" s="11">
        <v>85</v>
      </c>
      <c r="L39" s="11">
        <v>77.400000000000006</v>
      </c>
      <c r="N39" t="s">
        <v>90</v>
      </c>
      <c r="O39" s="13">
        <v>83</v>
      </c>
      <c r="P39" s="13">
        <v>76</v>
      </c>
      <c r="Q39" s="13">
        <v>59</v>
      </c>
      <c r="R39" s="13">
        <v>69</v>
      </c>
      <c r="S39" s="13">
        <v>90</v>
      </c>
      <c r="T39" s="14">
        <f t="shared" si="1"/>
        <v>75.400000000000006</v>
      </c>
    </row>
    <row r="40" spans="2:20" x14ac:dyDescent="0.25">
      <c r="B40" t="s">
        <v>89</v>
      </c>
      <c r="C40" s="7">
        <v>67</v>
      </c>
      <c r="D40" s="7">
        <v>48</v>
      </c>
      <c r="E40">
        <v>88</v>
      </c>
      <c r="F40">
        <v>77</v>
      </c>
      <c r="G40" s="7">
        <v>120</v>
      </c>
      <c r="H40" s="8">
        <f>AVERAGE(C40:G40)</f>
        <v>80</v>
      </c>
      <c r="I40">
        <v>80</v>
      </c>
      <c r="K40" s="11">
        <v>88</v>
      </c>
      <c r="L40" s="11">
        <v>78</v>
      </c>
    </row>
    <row r="41" spans="2:20" x14ac:dyDescent="0.25">
      <c r="B41" t="s">
        <v>90</v>
      </c>
      <c r="C41" s="7">
        <v>83</v>
      </c>
      <c r="D41" s="7">
        <v>76</v>
      </c>
      <c r="E41">
        <v>59</v>
      </c>
      <c r="F41">
        <v>69</v>
      </c>
      <c r="G41" s="7">
        <v>137.99999999999994</v>
      </c>
      <c r="H41" s="8">
        <f>AVERAGE(C41:G41)</f>
        <v>84.999999999999986</v>
      </c>
      <c r="I41">
        <v>85</v>
      </c>
      <c r="K41" s="11">
        <v>90</v>
      </c>
      <c r="L41" s="11">
        <v>78.400000000000006</v>
      </c>
    </row>
  </sheetData>
  <scenarios current="0" show="0">
    <scenario name="CC90" locked="1" count="1" user="MITS" comment="Created by MITS on 08-06-2026">
      <inputCells r="S35" val="90"/>
    </scenario>
  </scenarios>
  <sortState xmlns:xlrd2="http://schemas.microsoft.com/office/spreadsheetml/2017/richdata2" ref="S2:S22">
    <sortCondition ref="S2:S22"/>
  </sortState>
  <mergeCells count="3">
    <mergeCell ref="W2:X2"/>
    <mergeCell ref="Y2:Z2"/>
    <mergeCell ref="AA2:AC2"/>
  </mergeCells>
  <dataValidations disablePrompts="1" xWindow="1198" yWindow="464" count="8">
    <dataValidation type="whole" allowBlank="1" showInputMessage="1" showErrorMessage="1" sqref="N2" xr:uid="{42E7BCA5-B953-4C8B-AFAA-4DB0CC36082B}">
      <formula1>25</formula1>
      <formula2>70</formula2>
    </dataValidation>
    <dataValidation type="whole" allowBlank="1" showInputMessage="1" showErrorMessage="1" sqref="H2 S2" xr:uid="{768EA704-D245-43F7-830F-60E26668BEB2}">
      <formula1>29</formula1>
      <formula2>200</formula2>
    </dataValidation>
    <dataValidation type="decimal" allowBlank="1" showInputMessage="1" showErrorMessage="1" prompt="not valid" sqref="H3 S3" xr:uid="{37F447C7-857F-453D-A23A-8B780483F64B}">
      <formula1>20</formula1>
      <formula2>100</formula2>
    </dataValidation>
    <dataValidation type="textLength" allowBlank="1" showInputMessage="1" showErrorMessage="1" error="dxxfv" prompt="no" sqref="J3" xr:uid="{31E5C179-9573-4583-831A-AEF99187AFEA}">
      <formula1>4</formula1>
      <formula2>9</formula2>
    </dataValidation>
    <dataValidation type="decimal" allowBlank="1" showInputMessage="1" showErrorMessage="1" error="no" prompt="no" sqref="R1:R19" xr:uid="{319F575B-7890-4374-AA3A-F4E549BFFF78}">
      <formula1>100</formula1>
      <formula2>1000</formula2>
    </dataValidation>
    <dataValidation type="textLength" allowBlank="1" showInputMessage="1" showErrorMessage="1" sqref="N31" xr:uid="{213EADE2-750F-46C4-9321-650D448CF508}">
      <formula1>3</formula1>
      <formula2>7</formula2>
    </dataValidation>
    <dataValidation type="whole" allowBlank="1" showInputMessage="1" showErrorMessage="1" sqref="Y10:Y22" xr:uid="{BDA02D66-8EF6-4C0A-A89F-9335B06B1630}">
      <formula1>15</formula1>
      <formula2>30</formula2>
    </dataValidation>
    <dataValidation type="whole" allowBlank="1" showInputMessage="1" showErrorMessage="1" sqref="Z11:Z21" xr:uid="{BA0738B9-1E03-4CF0-A5FE-8E35C17DFDA3}">
      <formula1>5</formula1>
      <formula2>10</formula2>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8694B-A4F0-40AD-B567-1D4E3F9203F6}">
  <sheetPr codeName="Sheet8"/>
  <dimension ref="A1"/>
  <sheetViews>
    <sheetView topLeftCell="B4" workbookViewId="0">
      <selection activeCell="AD12" sqref="AD12"/>
    </sheetView>
  </sheetViews>
  <sheetFormatPr defaultColWidth="8.85546875" defaultRowHeight="15" x14ac:dyDescent="0.25"/>
  <cols>
    <col min="1" max="16384" width="8.85546875" style="2"/>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098B0F6-73F8-45EB-A066-9B829FDD879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Sheet2</vt:lpstr>
      <vt:lpstr>sales_data</vt:lpstr>
      <vt:lpstr>Sheet5</vt:lpstr>
      <vt:lpstr>Sheet7</vt:lpstr>
      <vt:lpstr>Sheet6</vt:lpstr>
      <vt:lpstr>Sheet3</vt:lpstr>
      <vt:lpstr>Sheet1</vt:lpstr>
      <vt:lpstr>dashboard sales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vamsee bana</dc:creator>
  <cp:lastModifiedBy>MITS</cp:lastModifiedBy>
  <dcterms:created xsi:type="dcterms:W3CDTF">2026-06-08T02:31:18Z</dcterms:created>
  <dcterms:modified xsi:type="dcterms:W3CDTF">2026-06-09T04:11:45Z</dcterms:modified>
</cp:coreProperties>
</file>